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050d7a97053385/Desktop/AutoTwin/examples/small_UAV_lift_cruise/"/>
    </mc:Choice>
  </mc:AlternateContent>
  <xr:revisionPtr revIDLastSave="0" documentId="13_ncr:1_{9AD69AD6-B0B4-48E0-B509-5F5C68D04936}" xr6:coauthVersionLast="47" xr6:coauthVersionMax="47" xr10:uidLastSave="{00000000-0000-0000-0000-000000000000}"/>
  <bookViews>
    <workbookView xWindow="-108" yWindow="-108" windowWidth="23256" windowHeight="12456" xr2:uid="{FBB75C5C-2C7E-4E8A-A5E1-BFEDFD0E4807}"/>
  </bookViews>
  <sheets>
    <sheet name="aircraft_data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</calcChain>
</file>

<file path=xl/sharedStrings.xml><?xml version="1.0" encoding="utf-8"?>
<sst xmlns="http://schemas.openxmlformats.org/spreadsheetml/2006/main" count="252" uniqueCount="180">
  <si>
    <t>kg</t>
  </si>
  <si>
    <t>m</t>
  </si>
  <si>
    <t>AR_hstab</t>
  </si>
  <si>
    <t>S_hstab</t>
  </si>
  <si>
    <t>m^2</t>
  </si>
  <si>
    <t>airfoil_hstab</t>
  </si>
  <si>
    <t>naca4410</t>
  </si>
  <si>
    <t>b_hstab</t>
  </si>
  <si>
    <t>c_hstab</t>
  </si>
  <si>
    <t>c_root_hstab</t>
  </si>
  <si>
    <t>c_tip_hstab</t>
  </si>
  <si>
    <t>c_tip_hstab_x</t>
  </si>
  <si>
    <t>chord_elevator_end</t>
  </si>
  <si>
    <t>chord_elevator_start</t>
  </si>
  <si>
    <t>elevator_end_x</t>
  </si>
  <si>
    <t>elevator_end_y</t>
  </si>
  <si>
    <t>elevator_start_x</t>
  </si>
  <si>
    <t>elevator_start_y</t>
  </si>
  <si>
    <t>h_stab_translate</t>
  </si>
  <si>
    <t>mac_hstab</t>
  </si>
  <si>
    <t>tail_z_loc</t>
  </si>
  <si>
    <t>taper_ratio_hstab</t>
  </si>
  <si>
    <t>AR_wing</t>
  </si>
  <si>
    <t>S_wing</t>
  </si>
  <si>
    <t>aileron_end_x</t>
  </si>
  <si>
    <t>aileron_end_y</t>
  </si>
  <si>
    <t>aileron_start_x</t>
  </si>
  <si>
    <t>aileron_start_y</t>
  </si>
  <si>
    <t>airfoil_main_wing</t>
  </si>
  <si>
    <t>b_wing</t>
  </si>
  <si>
    <t>c_root_wing</t>
  </si>
  <si>
    <t>c_tip_wing</t>
  </si>
  <si>
    <t>c_tip_wing_x</t>
  </si>
  <si>
    <t>chord_aileron_end</t>
  </si>
  <si>
    <t>chord_aileron_start</t>
  </si>
  <si>
    <t>mac_wing</t>
  </si>
  <si>
    <t>taper_ratio_wing</t>
  </si>
  <si>
    <t>theta_wing</t>
  </si>
  <si>
    <t>deg</t>
  </si>
  <si>
    <t>wing_loading</t>
  </si>
  <si>
    <t>AR_vstab</t>
  </si>
  <si>
    <t>S_vstab</t>
  </si>
  <si>
    <t>airfoil_vstab</t>
  </si>
  <si>
    <t>naca0012</t>
  </si>
  <si>
    <t>b_vstab</t>
  </si>
  <si>
    <t>c_root_vstab</t>
  </si>
  <si>
    <t>c_tip_vstab</t>
  </si>
  <si>
    <t>c_tip_vstab_x</t>
  </si>
  <si>
    <t>mac_vstab</t>
  </si>
  <si>
    <t>taper_ratio_vstab</t>
  </si>
  <si>
    <t>v_stab_translate</t>
  </si>
  <si>
    <t>MTOM</t>
  </si>
  <si>
    <t>DIMENSIONS</t>
  </si>
  <si>
    <t>MAIN WING</t>
  </si>
  <si>
    <t>Parameter</t>
  </si>
  <si>
    <t>Units</t>
  </si>
  <si>
    <t>Value</t>
  </si>
  <si>
    <t xml:space="preserve">HORIZONTAL STABILIZER </t>
  </si>
  <si>
    <t>VERTICAL STABILIZER</t>
  </si>
  <si>
    <t xml:space="preserve">MASS PROPERTIES </t>
  </si>
  <si>
    <t>Ixx</t>
  </si>
  <si>
    <t>Iyy</t>
  </si>
  <si>
    <t>Izz</t>
  </si>
  <si>
    <t>NP</t>
  </si>
  <si>
    <t>static_margin</t>
  </si>
  <si>
    <t>COMPONENT PLACEMENTS</t>
  </si>
  <si>
    <t>THRUST MODEL</t>
  </si>
  <si>
    <t>NONDIMENSIONAL</t>
  </si>
  <si>
    <t>kg m^2</t>
  </si>
  <si>
    <t>Ixz</t>
  </si>
  <si>
    <t>CG [x, y, z]</t>
  </si>
  <si>
    <t>[0.0802, 0, -0.0953]</t>
  </si>
  <si>
    <t>[0.09162, 0, 0]</t>
  </si>
  <si>
    <t>Origin is the leading edge of the main wing root chord. X is pointing towards the tail, Y is pointing starboard, Z is pointing up.</t>
  </si>
  <si>
    <t>kg/m^2</t>
  </si>
  <si>
    <t>incidence</t>
  </si>
  <si>
    <t>%</t>
  </si>
  <si>
    <t>Component</t>
  </si>
  <si>
    <t>Location [m, m, m]</t>
  </si>
  <si>
    <t>Xu</t>
  </si>
  <si>
    <t>Xw</t>
  </si>
  <si>
    <t>Zu</t>
  </si>
  <si>
    <t>Zw</t>
  </si>
  <si>
    <t>Zq</t>
  </si>
  <si>
    <t>Mu</t>
  </si>
  <si>
    <t>Mw</t>
  </si>
  <si>
    <t>Mq</t>
  </si>
  <si>
    <t>Yv</t>
  </si>
  <si>
    <t>Yp</t>
  </si>
  <si>
    <t>Yr</t>
  </si>
  <si>
    <t>Lv</t>
  </si>
  <si>
    <t>Lp</t>
  </si>
  <si>
    <t>Lr</t>
  </si>
  <si>
    <t>Nv</t>
  </si>
  <si>
    <t>Np</t>
  </si>
  <si>
    <t>Nr</t>
  </si>
  <si>
    <t>Cxu</t>
  </si>
  <si>
    <t>Cxa</t>
  </si>
  <si>
    <t>Czu</t>
  </si>
  <si>
    <t>CLa</t>
  </si>
  <si>
    <t>CLq</t>
  </si>
  <si>
    <t>Cmu</t>
  </si>
  <si>
    <t>Cma</t>
  </si>
  <si>
    <t>Cmq</t>
  </si>
  <si>
    <t>CYb</t>
  </si>
  <si>
    <t>CYp</t>
  </si>
  <si>
    <t>CYr</t>
  </si>
  <si>
    <t>Clb</t>
  </si>
  <si>
    <t>Clp</t>
  </si>
  <si>
    <t>Clr</t>
  </si>
  <si>
    <t>Cnb</t>
  </si>
  <si>
    <t>Cnp</t>
  </si>
  <si>
    <t>Cnr</t>
  </si>
  <si>
    <t>Xde</t>
  </si>
  <si>
    <t>Yde</t>
  </si>
  <si>
    <t>Zde</t>
  </si>
  <si>
    <t>Lde</t>
  </si>
  <si>
    <t>Mde</t>
  </si>
  <si>
    <t>Nde</t>
  </si>
  <si>
    <t>CXde</t>
  </si>
  <si>
    <t>CYde</t>
  </si>
  <si>
    <t>CZde</t>
  </si>
  <si>
    <t>CLde</t>
  </si>
  <si>
    <t>CMde</t>
  </si>
  <si>
    <t>CNde</t>
  </si>
  <si>
    <t>Xda</t>
  </si>
  <si>
    <t>Yda</t>
  </si>
  <si>
    <t>Zda</t>
  </si>
  <si>
    <t>Lda</t>
  </si>
  <si>
    <t>Mda</t>
  </si>
  <si>
    <t>Nda</t>
  </si>
  <si>
    <t>CXda</t>
  </si>
  <si>
    <t>CYda</t>
  </si>
  <si>
    <t>CZda</t>
  </si>
  <si>
    <t>CLda</t>
  </si>
  <si>
    <t>CMda</t>
  </si>
  <si>
    <t>CNda</t>
  </si>
  <si>
    <t>CXdr</t>
  </si>
  <si>
    <t>CYdr</t>
  </si>
  <si>
    <t>CZdr</t>
  </si>
  <si>
    <t>CLdr</t>
  </si>
  <si>
    <t>CMdr</t>
  </si>
  <si>
    <t>CNdr</t>
  </si>
  <si>
    <t>Xdr</t>
  </si>
  <si>
    <t>Ydr</t>
  </si>
  <si>
    <t>Zdr</t>
  </si>
  <si>
    <t>Ldr</t>
  </si>
  <si>
    <t>Mdr</t>
  </si>
  <si>
    <t>Ndr</t>
  </si>
  <si>
    <t>Mass (kg)</t>
  </si>
  <si>
    <t>Fuselage</t>
  </si>
  <si>
    <t>Battery</t>
  </si>
  <si>
    <t>Payload</t>
  </si>
  <si>
    <t>Flight controller</t>
  </si>
  <si>
    <t>Flight computer</t>
  </si>
  <si>
    <t>RF BLDC</t>
  </si>
  <si>
    <t>LF BLDC</t>
  </si>
  <si>
    <t>RB BLDC</t>
  </si>
  <si>
    <t xml:space="preserve">LB BLDC </t>
  </si>
  <si>
    <t>[0.05, 0, -0.075]</t>
  </si>
  <si>
    <t>Cruise BLDC</t>
  </si>
  <si>
    <t>[0, 0, -0.133]</t>
  </si>
  <si>
    <t>[0.155, 0, -0.125]</t>
  </si>
  <si>
    <t>[-0.106, 0, -0.088]</t>
  </si>
  <si>
    <t>[-0.103, 0, -0.045]</t>
  </si>
  <si>
    <t>[-0.120, 0.2, -0.005]</t>
  </si>
  <si>
    <t>[-0.120, -0.2, -0.005]</t>
  </si>
  <si>
    <t>[0.25, -0.2, -0.005]</t>
  </si>
  <si>
    <t>[0.25, 0.2, -0.005]</t>
  </si>
  <si>
    <t>[0.305, 0, -0.005]</t>
  </si>
  <si>
    <t>wing_mass</t>
  </si>
  <si>
    <t>mass_hstab</t>
  </si>
  <si>
    <t>mass_vstab</t>
  </si>
  <si>
    <t>CL</t>
  </si>
  <si>
    <t>AERODYNNAMIC DATA (V = 30 m/s, rho = 1.216 kg/m^3)</t>
  </si>
  <si>
    <t>Alpha</t>
  </si>
  <si>
    <t>CD</t>
  </si>
  <si>
    <t>Cm</t>
  </si>
  <si>
    <t>LONGITUDINAL DERIVATIVES (V = 23 m/s)</t>
  </si>
  <si>
    <t>LATERAL DERIVATIVES (V = 23 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</si>
</sst>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horizontal="center"/>
    </xf>
    <xf numFmtId="11" fontId="0" fillId="0" borderId="0" xfId="0" applyNumberFormat="1" applyAlignment="1">
      <alignment horizontal="center"/>
    </xf>
    <xf numFmtId="11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A220F-1E96-4420-A054-FD05BEE825D1}">
  <dimension ref="A1:AD63"/>
  <sheetViews>
    <sheetView tabSelected="1" topLeftCell="A3" zoomScale="129" zoomScaleNormal="115" workbookViewId="0">
      <selection activeCell="X13" sqref="X13"/>
    </sheetView>
  </sheetViews>
  <sheetFormatPr defaultRowHeight="14.4" x14ac:dyDescent="0.3"/>
  <cols>
    <col min="2" max="2" width="21.5546875" customWidth="1"/>
    <col min="3" max="3" width="16.5546875" customWidth="1"/>
    <col min="4" max="4" width="15.33203125" customWidth="1"/>
    <col min="6" max="6" width="15.21875" customWidth="1"/>
    <col min="7" max="7" width="13.21875" customWidth="1"/>
    <col min="8" max="8" width="19.77734375" customWidth="1"/>
    <col min="10" max="10" width="16.33203125" customWidth="1"/>
    <col min="11" max="11" width="21.5546875" customWidth="1"/>
    <col min="12" max="12" width="20.77734375" customWidth="1"/>
    <col min="13" max="13" width="9.6640625" customWidth="1"/>
    <col min="14" max="14" width="11.77734375" customWidth="1"/>
    <col min="15" max="15" width="11.21875" customWidth="1"/>
    <col min="16" max="16" width="11.33203125" customWidth="1"/>
    <col min="18" max="18" width="11.77734375" customWidth="1"/>
    <col min="19" max="19" width="12.21875" customWidth="1"/>
    <col min="20" max="20" width="18.77734375" customWidth="1"/>
    <col min="22" max="22" width="11.77734375" customWidth="1"/>
    <col min="23" max="23" width="12.77734375" customWidth="1"/>
    <col min="24" max="24" width="21.88671875" customWidth="1"/>
    <col min="26" max="26" width="8.88671875" customWidth="1"/>
    <col min="27" max="27" width="15.44140625" customWidth="1"/>
    <col min="28" max="28" width="16.33203125" customWidth="1"/>
    <col min="29" max="29" width="16.109375" customWidth="1"/>
  </cols>
  <sheetData>
    <row r="1" spans="1:30" x14ac:dyDescent="0.3">
      <c r="A1" s="1"/>
      <c r="B1" t="s">
        <v>73</v>
      </c>
    </row>
    <row r="2" spans="1:30" ht="15" thickBo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6" x14ac:dyDescent="0.3">
      <c r="A3" s="1"/>
      <c r="B3" s="18" t="s">
        <v>52</v>
      </c>
      <c r="C3" s="19"/>
      <c r="D3" s="20"/>
      <c r="E3" s="1"/>
      <c r="F3" s="18" t="s">
        <v>59</v>
      </c>
      <c r="G3" s="19"/>
      <c r="H3" s="20"/>
      <c r="I3" s="1"/>
      <c r="J3" s="18" t="s">
        <v>65</v>
      </c>
      <c r="K3" s="19"/>
      <c r="L3" s="20"/>
      <c r="M3" s="1"/>
      <c r="N3" s="18" t="s">
        <v>66</v>
      </c>
      <c r="O3" s="19"/>
      <c r="P3" s="20"/>
      <c r="Q3" s="1"/>
      <c r="R3" s="18" t="s">
        <v>178</v>
      </c>
      <c r="S3" s="19"/>
      <c r="T3" s="19"/>
      <c r="U3" s="14"/>
      <c r="V3" s="19" t="s">
        <v>179</v>
      </c>
      <c r="W3" s="19"/>
      <c r="X3" s="20"/>
      <c r="Y3" s="1"/>
      <c r="Z3" s="18" t="s">
        <v>174</v>
      </c>
      <c r="AA3" s="19"/>
      <c r="AB3" s="19"/>
      <c r="AC3" s="20"/>
      <c r="AD3" s="1"/>
    </row>
    <row r="4" spans="1:30" x14ac:dyDescent="0.3">
      <c r="A4" s="1"/>
      <c r="B4" s="24" t="s">
        <v>53</v>
      </c>
      <c r="C4" s="25"/>
      <c r="D4" s="26"/>
      <c r="E4" s="1"/>
      <c r="F4" s="2" t="s">
        <v>54</v>
      </c>
      <c r="G4" s="3" t="s">
        <v>55</v>
      </c>
      <c r="H4" s="4" t="s">
        <v>56</v>
      </c>
      <c r="I4" s="1"/>
      <c r="J4" s="2" t="s">
        <v>77</v>
      </c>
      <c r="K4" s="3" t="s">
        <v>149</v>
      </c>
      <c r="L4" s="4" t="s">
        <v>78</v>
      </c>
      <c r="M4" s="1"/>
      <c r="N4" s="2" t="s">
        <v>54</v>
      </c>
      <c r="O4" s="3" t="s">
        <v>55</v>
      </c>
      <c r="P4" s="4" t="s">
        <v>56</v>
      </c>
      <c r="Q4" s="1"/>
      <c r="R4" s="21" t="s">
        <v>67</v>
      </c>
      <c r="S4" s="22"/>
      <c r="T4" s="22"/>
      <c r="U4" s="3"/>
      <c r="V4" s="22" t="s">
        <v>67</v>
      </c>
      <c r="W4" s="22"/>
      <c r="X4" s="23"/>
      <c r="Y4" s="1"/>
      <c r="Z4" s="2" t="s">
        <v>175</v>
      </c>
      <c r="AA4" s="3" t="s">
        <v>173</v>
      </c>
      <c r="AB4" s="3" t="s">
        <v>176</v>
      </c>
      <c r="AC4" s="4" t="s">
        <v>177</v>
      </c>
      <c r="AD4" s="1"/>
    </row>
    <row r="5" spans="1:30" x14ac:dyDescent="0.3">
      <c r="A5" s="1"/>
      <c r="B5" s="2" t="s">
        <v>54</v>
      </c>
      <c r="C5" s="3" t="s">
        <v>55</v>
      </c>
      <c r="D5" s="4" t="s">
        <v>56</v>
      </c>
      <c r="E5" s="1"/>
      <c r="F5" s="8" t="s">
        <v>51</v>
      </c>
      <c r="G5" s="3" t="s">
        <v>0</v>
      </c>
      <c r="H5" s="4">
        <v>1.9039999999999999</v>
      </c>
      <c r="I5" s="1"/>
      <c r="J5" s="9" t="s">
        <v>150</v>
      </c>
      <c r="K5" s="3">
        <v>0.5</v>
      </c>
      <c r="L5" s="4" t="s">
        <v>159</v>
      </c>
      <c r="M5" s="1"/>
      <c r="N5" s="9"/>
      <c r="P5" s="10"/>
      <c r="Q5" s="1"/>
      <c r="R5" s="2" t="s">
        <v>54</v>
      </c>
      <c r="S5" s="3" t="s">
        <v>55</v>
      </c>
      <c r="T5" s="3" t="s">
        <v>56</v>
      </c>
      <c r="U5" s="3"/>
      <c r="V5" s="3" t="s">
        <v>54</v>
      </c>
      <c r="W5" s="3" t="s">
        <v>55</v>
      </c>
      <c r="X5" s="4" t="s">
        <v>56</v>
      </c>
      <c r="Y5" s="1"/>
      <c r="Z5" s="2">
        <v>-5</v>
      </c>
      <c r="AA5" s="3">
        <v>4.8287799999999999E-2</v>
      </c>
      <c r="AB5" s="3">
        <v>2.174046E-2</v>
      </c>
      <c r="AC5" s="4">
        <v>2.5429980000000001E-2</v>
      </c>
      <c r="AD5" s="1"/>
    </row>
    <row r="6" spans="1:30" x14ac:dyDescent="0.3">
      <c r="A6" s="1"/>
      <c r="B6" s="9" t="s">
        <v>22</v>
      </c>
      <c r="C6" s="3"/>
      <c r="D6" s="4">
        <v>8.0079999999999991</v>
      </c>
      <c r="E6" s="1"/>
      <c r="F6" s="8" t="s">
        <v>60</v>
      </c>
      <c r="G6" s="3" t="s">
        <v>68</v>
      </c>
      <c r="H6" s="4">
        <v>1.124E-2</v>
      </c>
      <c r="I6" s="1"/>
      <c r="J6" s="9" t="s">
        <v>151</v>
      </c>
      <c r="K6" s="3">
        <v>0.318</v>
      </c>
      <c r="L6" s="4" t="s">
        <v>161</v>
      </c>
      <c r="M6" s="1"/>
      <c r="N6" s="9"/>
      <c r="P6" s="10"/>
      <c r="Q6" s="1"/>
      <c r="R6" s="2" t="s">
        <v>79</v>
      </c>
      <c r="S6" s="3"/>
      <c r="T6" s="3">
        <v>-6.4817E-2</v>
      </c>
      <c r="U6" s="3"/>
      <c r="V6" s="3" t="s">
        <v>87</v>
      </c>
      <c r="W6" s="3"/>
      <c r="X6" s="4">
        <v>-0.22273000000000001</v>
      </c>
      <c r="Y6" s="1"/>
      <c r="Z6" s="2">
        <v>-4</v>
      </c>
      <c r="AA6" s="3">
        <v>0.14050190000000001</v>
      </c>
      <c r="AB6" s="3">
        <v>1.9488470000000001E-2</v>
      </c>
      <c r="AC6" s="4">
        <v>2.5620960000000002E-2</v>
      </c>
      <c r="AD6" s="1"/>
    </row>
    <row r="7" spans="1:30" x14ac:dyDescent="0.3">
      <c r="A7" s="1"/>
      <c r="B7" s="9" t="s">
        <v>23</v>
      </c>
      <c r="C7" s="3" t="s">
        <v>4</v>
      </c>
      <c r="D7" s="4">
        <v>0.115</v>
      </c>
      <c r="E7" s="1"/>
      <c r="F7" s="8" t="s">
        <v>61</v>
      </c>
      <c r="G7" s="3" t="s">
        <v>68</v>
      </c>
      <c r="H7" s="4">
        <v>2.6710000000000001E-2</v>
      </c>
      <c r="I7" s="1"/>
      <c r="J7" s="9" t="s">
        <v>152</v>
      </c>
      <c r="K7" s="3">
        <v>0.7</v>
      </c>
      <c r="L7" s="4" t="s">
        <v>162</v>
      </c>
      <c r="M7" s="1"/>
      <c r="N7" s="9"/>
      <c r="P7" s="10"/>
      <c r="Q7" s="1"/>
      <c r="R7" s="2" t="s">
        <v>80</v>
      </c>
      <c r="S7" s="3"/>
      <c r="T7" s="3">
        <v>0.50141000000000002</v>
      </c>
      <c r="U7" s="3"/>
      <c r="V7" s="3" t="s">
        <v>88</v>
      </c>
      <c r="W7" s="3"/>
      <c r="X7" s="4">
        <v>-2.1729999999999999E-2</v>
      </c>
      <c r="Y7" s="1"/>
      <c r="Z7" s="2">
        <v>-3</v>
      </c>
      <c r="AA7" s="3">
        <v>0.23268420000000001</v>
      </c>
      <c r="AB7" s="3">
        <v>1.887105E-2</v>
      </c>
      <c r="AC7" s="4">
        <v>2.3863180000000001E-2</v>
      </c>
      <c r="AD7" s="1"/>
    </row>
    <row r="8" spans="1:30" x14ac:dyDescent="0.3">
      <c r="A8" s="1"/>
      <c r="B8" s="9" t="s">
        <v>24</v>
      </c>
      <c r="C8" s="3" t="s">
        <v>1</v>
      </c>
      <c r="D8" s="4">
        <v>2.4E-2</v>
      </c>
      <c r="E8" s="1"/>
      <c r="F8" s="8" t="s">
        <v>62</v>
      </c>
      <c r="G8" s="3" t="s">
        <v>68</v>
      </c>
      <c r="H8" s="4">
        <v>3.1440000000000003E-2</v>
      </c>
      <c r="I8" s="1"/>
      <c r="J8" s="9" t="s">
        <v>153</v>
      </c>
      <c r="K8" s="3">
        <v>0.08</v>
      </c>
      <c r="L8" s="4" t="s">
        <v>164</v>
      </c>
      <c r="M8" s="1"/>
      <c r="N8" s="9"/>
      <c r="P8" s="10"/>
      <c r="Q8" s="1"/>
      <c r="R8" s="2" t="s">
        <v>81</v>
      </c>
      <c r="S8" s="3"/>
      <c r="T8" s="3">
        <v>-1.6231</v>
      </c>
      <c r="U8" s="3"/>
      <c r="V8" s="3" t="s">
        <v>89</v>
      </c>
      <c r="W8" s="3"/>
      <c r="X8" s="4">
        <v>0.11117</v>
      </c>
      <c r="Y8" s="1"/>
      <c r="Z8" s="2">
        <v>-2</v>
      </c>
      <c r="AA8" s="3">
        <v>0.32477220000000001</v>
      </c>
      <c r="AB8" s="3">
        <v>1.9256530000000001E-2</v>
      </c>
      <c r="AC8" s="4">
        <v>1.9888960000000001E-2</v>
      </c>
      <c r="AD8" s="1"/>
    </row>
    <row r="9" spans="1:30" x14ac:dyDescent="0.3">
      <c r="A9" s="1"/>
      <c r="B9" s="9" t="s">
        <v>25</v>
      </c>
      <c r="C9" s="3" t="s">
        <v>1</v>
      </c>
      <c r="D9" s="4">
        <v>0.45600000000000002</v>
      </c>
      <c r="E9" s="1"/>
      <c r="F9" s="8" t="s">
        <v>69</v>
      </c>
      <c r="G9" s="3" t="s">
        <v>68</v>
      </c>
      <c r="H9" s="4">
        <v>-1.6199999999999999E-3</v>
      </c>
      <c r="I9" s="1"/>
      <c r="J9" s="9" t="s">
        <v>154</v>
      </c>
      <c r="K9" s="3">
        <v>7.2999999999999995E-2</v>
      </c>
      <c r="L9" s="4" t="s">
        <v>163</v>
      </c>
      <c r="M9" s="1"/>
      <c r="N9" s="9"/>
      <c r="P9" s="10"/>
      <c r="Q9" s="1"/>
      <c r="R9" s="2" t="s">
        <v>82</v>
      </c>
      <c r="S9" s="3"/>
      <c r="T9" s="3">
        <v>-8.4641000000000002</v>
      </c>
      <c r="U9" s="3"/>
      <c r="V9" s="3" t="s">
        <v>90</v>
      </c>
      <c r="W9" s="3"/>
      <c r="X9" s="4">
        <v>1.3612000000000001E-2</v>
      </c>
      <c r="Y9" s="1"/>
      <c r="Z9" s="2">
        <v>-1</v>
      </c>
      <c r="AA9" s="3">
        <v>0.4167035</v>
      </c>
      <c r="AB9" s="3">
        <v>2.0387369999999998E-2</v>
      </c>
      <c r="AC9" s="4">
        <v>1.365687E-2</v>
      </c>
      <c r="AD9" s="1"/>
    </row>
    <row r="10" spans="1:30" x14ac:dyDescent="0.3">
      <c r="A10" s="1"/>
      <c r="B10" s="9" t="s">
        <v>26</v>
      </c>
      <c r="C10" s="3" t="s">
        <v>1</v>
      </c>
      <c r="D10" s="4">
        <v>1.4999999999999999E-2</v>
      </c>
      <c r="E10" s="1"/>
      <c r="F10" s="8" t="s">
        <v>70</v>
      </c>
      <c r="G10" s="3" t="s">
        <v>1</v>
      </c>
      <c r="H10" s="4" t="s">
        <v>71</v>
      </c>
      <c r="I10" s="1"/>
      <c r="J10" s="9" t="s">
        <v>155</v>
      </c>
      <c r="K10" s="3">
        <v>3.3000000000000002E-2</v>
      </c>
      <c r="L10" s="4" t="s">
        <v>165</v>
      </c>
      <c r="M10" s="1"/>
      <c r="N10" s="9"/>
      <c r="P10" s="10"/>
      <c r="Q10" s="1"/>
      <c r="R10" s="2" t="s">
        <v>83</v>
      </c>
      <c r="S10" s="3"/>
      <c r="T10" s="3">
        <v>-0.48981999999999998</v>
      </c>
      <c r="U10" s="3"/>
      <c r="V10" s="3" t="s">
        <v>91</v>
      </c>
      <c r="W10" s="3"/>
      <c r="X10" s="4">
        <v>-0.40321000000000001</v>
      </c>
      <c r="Y10" s="1"/>
      <c r="Z10" s="2">
        <v>0</v>
      </c>
      <c r="AA10" s="3">
        <v>0.50841579999999997</v>
      </c>
      <c r="AB10" s="3">
        <v>2.2600140000000001E-2</v>
      </c>
      <c r="AC10" s="4">
        <v>5.4079260000000004E-3</v>
      </c>
      <c r="AD10" s="1"/>
    </row>
    <row r="11" spans="1:30" x14ac:dyDescent="0.3">
      <c r="A11" s="1"/>
      <c r="B11" s="9" t="s">
        <v>27</v>
      </c>
      <c r="C11" s="3" t="s">
        <v>1</v>
      </c>
      <c r="D11" s="4">
        <v>0.28799999999999998</v>
      </c>
      <c r="E11" s="1"/>
      <c r="F11" s="8" t="s">
        <v>63</v>
      </c>
      <c r="G11" s="3" t="s">
        <v>1</v>
      </c>
      <c r="H11" s="4" t="s">
        <v>72</v>
      </c>
      <c r="I11" s="1"/>
      <c r="J11" s="9" t="s">
        <v>156</v>
      </c>
      <c r="K11" s="3">
        <v>3.3000000000000002E-2</v>
      </c>
      <c r="L11" s="4" t="s">
        <v>166</v>
      </c>
      <c r="M11" s="1"/>
      <c r="N11" s="9"/>
      <c r="P11" s="10"/>
      <c r="Q11" s="1"/>
      <c r="R11" s="2" t="s">
        <v>84</v>
      </c>
      <c r="S11" s="3"/>
      <c r="T11" s="3">
        <v>-1.8002999999999999E-3</v>
      </c>
      <c r="U11" s="3"/>
      <c r="V11" s="3" t="s">
        <v>92</v>
      </c>
      <c r="W11" s="3"/>
      <c r="X11" s="4">
        <v>8.8752999999999999E-2</v>
      </c>
      <c r="Y11" s="1"/>
      <c r="Z11" s="2">
        <v>1</v>
      </c>
      <c r="AA11" s="3">
        <v>0.59984749999999998</v>
      </c>
      <c r="AB11" s="3">
        <v>2.6429029999999999E-2</v>
      </c>
      <c r="AC11" s="4">
        <v>-4.3564249999999997E-3</v>
      </c>
      <c r="AD11" s="1"/>
    </row>
    <row r="12" spans="1:30" ht="15" thickBot="1" x14ac:dyDescent="0.35">
      <c r="A12" s="1"/>
      <c r="B12" s="9" t="s">
        <v>28</v>
      </c>
      <c r="C12" s="3"/>
      <c r="D12" s="4" t="s">
        <v>6</v>
      </c>
      <c r="E12" s="1"/>
      <c r="F12" s="17" t="s">
        <v>64</v>
      </c>
      <c r="G12" s="6" t="s">
        <v>76</v>
      </c>
      <c r="H12" s="7">
        <v>9.52</v>
      </c>
      <c r="I12" s="1"/>
      <c r="J12" s="9" t="s">
        <v>157</v>
      </c>
      <c r="K12" s="3">
        <v>3.3000000000000002E-2</v>
      </c>
      <c r="L12" s="4" t="s">
        <v>168</v>
      </c>
      <c r="M12" s="1"/>
      <c r="N12" s="9"/>
      <c r="P12" s="10"/>
      <c r="Q12" s="1"/>
      <c r="R12" s="2" t="s">
        <v>85</v>
      </c>
      <c r="S12" s="3"/>
      <c r="T12" s="3">
        <v>-9.6820000000000003E-2</v>
      </c>
      <c r="U12" s="3"/>
      <c r="V12" s="3" t="s">
        <v>93</v>
      </c>
      <c r="W12" s="3"/>
      <c r="X12" s="4">
        <v>0.10077</v>
      </c>
      <c r="Y12" s="1"/>
      <c r="Z12" s="2">
        <v>2</v>
      </c>
      <c r="AA12" s="3">
        <v>0.69093700000000002</v>
      </c>
      <c r="AB12" s="3">
        <v>3.1126999999999998E-2</v>
      </c>
      <c r="AC12" s="4">
        <v>-1.6178410000000001E-2</v>
      </c>
      <c r="AD12" s="1"/>
    </row>
    <row r="13" spans="1:30" x14ac:dyDescent="0.3">
      <c r="A13" s="1"/>
      <c r="B13" s="9" t="s">
        <v>29</v>
      </c>
      <c r="C13" s="3" t="s">
        <v>1</v>
      </c>
      <c r="D13" s="4">
        <v>0.96</v>
      </c>
      <c r="E13" s="1"/>
      <c r="F13" s="1"/>
      <c r="G13" s="1"/>
      <c r="H13" s="1"/>
      <c r="I13" s="1"/>
      <c r="J13" s="9" t="s">
        <v>158</v>
      </c>
      <c r="K13" s="3">
        <v>3.3000000000000002E-2</v>
      </c>
      <c r="L13" s="4" t="s">
        <v>167</v>
      </c>
      <c r="M13" s="1"/>
      <c r="N13" s="9"/>
      <c r="P13" s="10"/>
      <c r="Q13" s="1"/>
      <c r="R13" s="2" t="s">
        <v>86</v>
      </c>
      <c r="S13" s="3"/>
      <c r="T13" s="3">
        <v>-0.22525999999999999</v>
      </c>
      <c r="U13" s="3"/>
      <c r="V13" s="3" t="s">
        <v>94</v>
      </c>
      <c r="W13" s="3"/>
      <c r="X13" s="4">
        <v>-4.2651000000000001E-2</v>
      </c>
      <c r="Y13" s="1"/>
      <c r="Z13" s="2">
        <v>3</v>
      </c>
      <c r="AA13" s="3">
        <v>0.78162339999999997</v>
      </c>
      <c r="AB13" s="3">
        <v>3.6533089999999997E-2</v>
      </c>
      <c r="AC13" s="4">
        <v>-3.0133469999999999E-2</v>
      </c>
      <c r="AD13" s="1"/>
    </row>
    <row r="14" spans="1:30" x14ac:dyDescent="0.3">
      <c r="A14" s="1"/>
      <c r="B14" s="9" t="s">
        <v>30</v>
      </c>
      <c r="C14" s="3" t="s">
        <v>1</v>
      </c>
      <c r="D14" s="4">
        <v>0.14499999999999999</v>
      </c>
      <c r="E14" s="1"/>
      <c r="F14" s="1"/>
      <c r="G14" s="1"/>
      <c r="H14" s="1"/>
      <c r="I14" s="1"/>
      <c r="J14" s="9" t="s">
        <v>160</v>
      </c>
      <c r="K14" s="3">
        <v>3.3000000000000002E-2</v>
      </c>
      <c r="L14" s="4" t="s">
        <v>169</v>
      </c>
      <c r="M14" s="1"/>
      <c r="N14" s="9"/>
      <c r="P14" s="10"/>
      <c r="Q14" s="1"/>
      <c r="R14" s="2" t="s">
        <v>113</v>
      </c>
      <c r="S14" s="3"/>
      <c r="T14" s="3">
        <v>0.34963</v>
      </c>
      <c r="U14" s="3"/>
      <c r="V14" s="3" t="s">
        <v>95</v>
      </c>
      <c r="W14" s="3"/>
      <c r="X14" s="4">
        <v>-4.8422E-2</v>
      </c>
      <c r="Y14" s="1"/>
      <c r="Z14" s="2">
        <v>4</v>
      </c>
      <c r="AA14" s="3">
        <v>0.87184660000000003</v>
      </c>
      <c r="AB14" s="3">
        <v>4.2607109999999997E-2</v>
      </c>
      <c r="AC14" s="4">
        <v>-4.6217510000000003E-2</v>
      </c>
      <c r="AD14" s="1"/>
    </row>
    <row r="15" spans="1:30" ht="15" thickBot="1" x14ac:dyDescent="0.35">
      <c r="A15" s="1"/>
      <c r="B15" s="9" t="s">
        <v>31</v>
      </c>
      <c r="C15" s="3" t="s">
        <v>1</v>
      </c>
      <c r="D15" s="4">
        <v>9.4E-2</v>
      </c>
      <c r="E15" s="1"/>
      <c r="F15" s="1"/>
      <c r="G15" s="1"/>
      <c r="H15" s="1"/>
      <c r="I15" s="1"/>
      <c r="J15" s="11"/>
      <c r="K15" s="6">
        <f>SUM(K5:K14) + D24 + D47 +D62</f>
        <v>1.9039999999999995</v>
      </c>
      <c r="L15" s="13"/>
      <c r="M15" s="1"/>
      <c r="N15" s="9"/>
      <c r="P15" s="10"/>
      <c r="Q15" s="1"/>
      <c r="R15" s="2" t="s">
        <v>114</v>
      </c>
      <c r="S15" s="3"/>
      <c r="T15" s="15">
        <v>0</v>
      </c>
      <c r="U15" s="3"/>
      <c r="V15" s="3" t="s">
        <v>125</v>
      </c>
      <c r="W15" s="3"/>
      <c r="X15" s="4">
        <v>-3.5666000000000001E-3</v>
      </c>
      <c r="Y15" s="1"/>
      <c r="Z15" s="2">
        <v>5</v>
      </c>
      <c r="AA15" s="3">
        <v>0.96154700000000004</v>
      </c>
      <c r="AB15" s="3">
        <v>4.9344819999999998E-2</v>
      </c>
      <c r="AC15" s="4">
        <v>-6.4431390000000005E-2</v>
      </c>
      <c r="AD15" s="1"/>
    </row>
    <row r="16" spans="1:30" x14ac:dyDescent="0.3">
      <c r="A16" s="1"/>
      <c r="B16" s="9" t="s">
        <v>32</v>
      </c>
      <c r="C16" s="3" t="s">
        <v>1</v>
      </c>
      <c r="D16" s="4">
        <v>2.5000000000000001E-2</v>
      </c>
      <c r="E16" s="1"/>
      <c r="F16" s="1"/>
      <c r="G16" s="1"/>
      <c r="H16" s="1"/>
      <c r="I16" s="1"/>
      <c r="J16" s="1"/>
      <c r="K16" s="1"/>
      <c r="L16" s="1"/>
      <c r="M16" s="1"/>
      <c r="N16" s="9"/>
      <c r="P16" s="10"/>
      <c r="Q16" s="1"/>
      <c r="R16" s="2" t="s">
        <v>115</v>
      </c>
      <c r="S16" s="3"/>
      <c r="T16" s="3">
        <v>10.315</v>
      </c>
      <c r="U16" s="3"/>
      <c r="V16" s="3" t="s">
        <v>126</v>
      </c>
      <c r="W16" s="3"/>
      <c r="X16" s="4">
        <v>-0.31953999999999999</v>
      </c>
      <c r="Y16" s="1"/>
      <c r="Z16" s="2">
        <v>6</v>
      </c>
      <c r="AA16" s="3">
        <v>1.0506660000000001</v>
      </c>
      <c r="AB16" s="3">
        <v>5.6799570000000001E-2</v>
      </c>
      <c r="AC16" s="4">
        <v>-8.4827879999999994E-2</v>
      </c>
      <c r="AD16" s="1"/>
    </row>
    <row r="17" spans="1:30" ht="15" thickBot="1" x14ac:dyDescent="0.35">
      <c r="A17" s="1"/>
      <c r="B17" s="9" t="s">
        <v>33</v>
      </c>
      <c r="C17" s="3" t="s">
        <v>1</v>
      </c>
      <c r="D17" s="4">
        <v>9.7000000000000003E-2</v>
      </c>
      <c r="E17" s="1"/>
      <c r="F17" s="1"/>
      <c r="G17" s="1"/>
      <c r="H17" s="1"/>
      <c r="I17" s="1"/>
      <c r="J17" s="1"/>
      <c r="K17" s="1"/>
      <c r="L17" s="1"/>
      <c r="M17" s="1"/>
      <c r="N17" s="11"/>
      <c r="O17" s="12"/>
      <c r="P17" s="13"/>
      <c r="Q17" s="1"/>
      <c r="R17" s="2" t="s">
        <v>116</v>
      </c>
      <c r="S17" s="3"/>
      <c r="T17" s="15">
        <v>9.4043000000000002E-12</v>
      </c>
      <c r="U17" s="3"/>
      <c r="V17" s="3" t="s">
        <v>127</v>
      </c>
      <c r="W17" s="3"/>
      <c r="X17" s="4">
        <v>2.4304999999999999E-3</v>
      </c>
      <c r="Y17" s="1"/>
      <c r="Z17" s="2">
        <v>7</v>
      </c>
      <c r="AA17" s="3">
        <v>1.139146</v>
      </c>
      <c r="AB17" s="3">
        <v>6.4830310000000002E-2</v>
      </c>
      <c r="AC17" s="4">
        <v>-0.1073886</v>
      </c>
      <c r="AD17" s="1"/>
    </row>
    <row r="18" spans="1:30" x14ac:dyDescent="0.3">
      <c r="A18" s="1"/>
      <c r="B18" s="9" t="s">
        <v>34</v>
      </c>
      <c r="C18" s="3" t="s">
        <v>1</v>
      </c>
      <c r="D18" s="4">
        <v>0.115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2" t="s">
        <v>117</v>
      </c>
      <c r="S18" s="3"/>
      <c r="T18" s="3">
        <v>4.7714999999999996</v>
      </c>
      <c r="U18" s="3"/>
      <c r="V18" s="3" t="s">
        <v>128</v>
      </c>
      <c r="W18" s="3"/>
      <c r="X18" s="4">
        <v>-9.8561999999999994</v>
      </c>
      <c r="Y18" s="1"/>
      <c r="Z18" s="2">
        <v>8</v>
      </c>
      <c r="AA18" s="3">
        <v>1.226931</v>
      </c>
      <c r="AB18" s="3">
        <v>7.366375E-2</v>
      </c>
      <c r="AC18" s="4">
        <v>-0.13187550000000001</v>
      </c>
      <c r="AD18" s="1"/>
    </row>
    <row r="19" spans="1:30" ht="15" thickBot="1" x14ac:dyDescent="0.35">
      <c r="A19" s="1"/>
      <c r="B19" s="9" t="s">
        <v>35</v>
      </c>
      <c r="C19" s="3" t="s">
        <v>1</v>
      </c>
      <c r="D19" s="4">
        <v>0.122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2" t="s">
        <v>118</v>
      </c>
      <c r="S19" s="3"/>
      <c r="T19" s="15">
        <v>0</v>
      </c>
      <c r="U19" s="3"/>
      <c r="V19" s="3" t="s">
        <v>129</v>
      </c>
      <c r="W19" s="3"/>
      <c r="X19" s="16">
        <v>-6.5296000000000001E-6</v>
      </c>
      <c r="Y19" s="1"/>
      <c r="Z19" s="5">
        <v>9</v>
      </c>
      <c r="AA19" s="6">
        <v>1.3139639999999999</v>
      </c>
      <c r="AB19" s="6">
        <v>8.9855279999999996E-2</v>
      </c>
      <c r="AC19" s="7">
        <v>-0.15289150000000001</v>
      </c>
      <c r="AD19" s="1"/>
    </row>
    <row r="20" spans="1:30" x14ac:dyDescent="0.3">
      <c r="A20" s="1"/>
      <c r="B20" s="9" t="s">
        <v>36</v>
      </c>
      <c r="C20" s="3"/>
      <c r="D20" s="4">
        <v>0.65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2"/>
      <c r="S20" s="3"/>
      <c r="T20" s="3"/>
      <c r="U20" s="3"/>
      <c r="V20" s="3" t="s">
        <v>130</v>
      </c>
      <c r="W20" s="3"/>
      <c r="X20" s="4">
        <v>0.1119</v>
      </c>
      <c r="Y20" s="1"/>
      <c r="Z20" s="1"/>
      <c r="AA20" s="1"/>
      <c r="AB20" s="1"/>
      <c r="AC20" s="1"/>
      <c r="AD20" s="1"/>
    </row>
    <row r="21" spans="1:30" x14ac:dyDescent="0.3">
      <c r="A21" s="1"/>
      <c r="B21" s="9" t="s">
        <v>37</v>
      </c>
      <c r="C21" s="3" t="s">
        <v>38</v>
      </c>
      <c r="D21" s="4">
        <v>1.56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2"/>
      <c r="S21" s="3"/>
      <c r="T21" s="3"/>
      <c r="U21" s="3"/>
      <c r="V21" s="3" t="s">
        <v>143</v>
      </c>
      <c r="W21" s="3"/>
      <c r="X21" s="4">
        <v>-6.0760000000000002E-4</v>
      </c>
      <c r="Y21" s="1"/>
      <c r="Z21" s="1"/>
      <c r="AA21" s="1"/>
      <c r="AB21" s="1"/>
      <c r="AC21" s="1"/>
      <c r="AD21" s="1"/>
    </row>
    <row r="22" spans="1:30" x14ac:dyDescent="0.3">
      <c r="A22" s="1"/>
      <c r="B22" s="9" t="s">
        <v>39</v>
      </c>
      <c r="C22" s="3" t="s">
        <v>74</v>
      </c>
      <c r="D22" s="4">
        <v>16.545000000000002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"/>
      <c r="S22" s="3"/>
      <c r="T22" s="3"/>
      <c r="U22" s="3"/>
      <c r="V22" s="3" t="s">
        <v>144</v>
      </c>
      <c r="W22" s="3"/>
      <c r="X22" s="4">
        <v>2.8691</v>
      </c>
      <c r="Y22" s="1"/>
      <c r="Z22" s="1"/>
      <c r="AA22" s="1"/>
      <c r="AB22" s="1"/>
      <c r="AC22" s="1"/>
      <c r="AD22" s="1"/>
    </row>
    <row r="23" spans="1:30" x14ac:dyDescent="0.3">
      <c r="A23" s="1"/>
      <c r="B23" s="9" t="s">
        <v>75</v>
      </c>
      <c r="C23" s="3" t="s">
        <v>38</v>
      </c>
      <c r="D23" s="4">
        <v>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2"/>
      <c r="S23" s="3"/>
      <c r="T23" s="3"/>
      <c r="U23" s="3"/>
      <c r="V23" s="3" t="s">
        <v>145</v>
      </c>
      <c r="W23" s="3"/>
      <c r="X23" s="4">
        <v>1.0289999999999999E-4</v>
      </c>
      <c r="Y23" s="1"/>
      <c r="Z23" s="1"/>
      <c r="AA23" s="1"/>
      <c r="AB23" s="1"/>
      <c r="AC23" s="1"/>
      <c r="AD23" s="1"/>
    </row>
    <row r="24" spans="1:30" x14ac:dyDescent="0.3">
      <c r="A24" s="1"/>
      <c r="B24" s="9" t="s">
        <v>170</v>
      </c>
      <c r="C24" s="3" t="s">
        <v>0</v>
      </c>
      <c r="D24" s="4">
        <v>4.2999999999999997E-2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2"/>
      <c r="S24" s="3"/>
      <c r="T24" s="3"/>
      <c r="U24" s="3"/>
      <c r="V24" s="3" t="s">
        <v>146</v>
      </c>
      <c r="W24" s="3"/>
      <c r="X24" s="4">
        <v>-8.1320000000000003E-2</v>
      </c>
      <c r="Y24" s="1"/>
      <c r="Z24" s="1"/>
      <c r="AA24" s="1"/>
      <c r="AB24" s="1"/>
      <c r="AC24" s="1"/>
      <c r="AD24" s="1"/>
    </row>
    <row r="25" spans="1:30" x14ac:dyDescent="0.3">
      <c r="A25" s="1"/>
      <c r="B25" s="9"/>
      <c r="D25" s="10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2"/>
      <c r="S25" s="3"/>
      <c r="T25" s="3"/>
      <c r="U25" s="3"/>
      <c r="V25" s="3" t="s">
        <v>147</v>
      </c>
      <c r="W25" s="3"/>
      <c r="X25" s="16">
        <v>1.3601000000000001E-5</v>
      </c>
      <c r="Y25" s="1"/>
      <c r="Z25" s="1"/>
      <c r="AA25" s="1"/>
      <c r="AB25" s="1"/>
      <c r="AC25" s="1"/>
      <c r="AD25" s="1"/>
    </row>
    <row r="26" spans="1:30" x14ac:dyDescent="0.3">
      <c r="A26" s="1"/>
      <c r="B26" s="21" t="s">
        <v>57</v>
      </c>
      <c r="C26" s="22"/>
      <c r="D26" s="2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2"/>
      <c r="S26" s="3"/>
      <c r="T26" s="3"/>
      <c r="U26" s="3"/>
      <c r="V26" s="3" t="s">
        <v>148</v>
      </c>
      <c r="W26" s="3"/>
      <c r="X26" s="4">
        <v>-1.3706</v>
      </c>
      <c r="Y26" s="1"/>
      <c r="Z26" s="1"/>
      <c r="AA26" s="1"/>
      <c r="AB26" s="1"/>
      <c r="AC26" s="1"/>
      <c r="AD26" s="1"/>
    </row>
    <row r="27" spans="1:30" x14ac:dyDescent="0.3">
      <c r="A27" s="1"/>
      <c r="B27" s="9" t="s">
        <v>54</v>
      </c>
      <c r="C27" t="s">
        <v>55</v>
      </c>
      <c r="D27" s="10" t="s">
        <v>56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2"/>
      <c r="S27" s="3"/>
      <c r="T27" s="3"/>
      <c r="U27" s="3"/>
      <c r="V27" s="3"/>
      <c r="W27" s="3"/>
      <c r="X27" s="4"/>
      <c r="Y27" s="1"/>
      <c r="Z27" s="1"/>
      <c r="AA27" s="1"/>
      <c r="AB27" s="1"/>
      <c r="AC27" s="1"/>
      <c r="AD27" s="1"/>
    </row>
    <row r="28" spans="1:30" x14ac:dyDescent="0.3">
      <c r="A28" s="1"/>
      <c r="B28" s="9" t="s">
        <v>2</v>
      </c>
      <c r="C28" s="3"/>
      <c r="D28" s="4">
        <v>3.99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2"/>
      <c r="S28" s="3"/>
      <c r="T28" s="3"/>
      <c r="U28" s="3"/>
      <c r="V28" s="3"/>
      <c r="W28" s="3"/>
      <c r="X28" s="4"/>
      <c r="Y28" s="1"/>
      <c r="Z28" s="1"/>
      <c r="AA28" s="1"/>
      <c r="AB28" s="1"/>
      <c r="AC28" s="1"/>
      <c r="AD28" s="1"/>
    </row>
    <row r="29" spans="1:30" x14ac:dyDescent="0.3">
      <c r="A29" s="1"/>
      <c r="B29" s="9" t="s">
        <v>3</v>
      </c>
      <c r="C29" s="3" t="s">
        <v>4</v>
      </c>
      <c r="D29" s="4">
        <v>0.02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21" t="s">
        <v>67</v>
      </c>
      <c r="S29" s="22"/>
      <c r="T29" s="22"/>
      <c r="U29" s="3"/>
      <c r="V29" s="22" t="s">
        <v>67</v>
      </c>
      <c r="W29" s="22"/>
      <c r="X29" s="23"/>
      <c r="Y29" s="1"/>
      <c r="Z29" s="1"/>
      <c r="AA29" s="1"/>
      <c r="AB29" s="1"/>
      <c r="AC29" s="1"/>
      <c r="AD29" s="1"/>
    </row>
    <row r="30" spans="1:30" x14ac:dyDescent="0.3">
      <c r="A30" s="1"/>
      <c r="B30" s="9" t="s">
        <v>5</v>
      </c>
      <c r="C30" s="3"/>
      <c r="D30" s="4" t="s">
        <v>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2" t="s">
        <v>54</v>
      </c>
      <c r="S30" s="3" t="s">
        <v>55</v>
      </c>
      <c r="T30" s="3" t="s">
        <v>56</v>
      </c>
      <c r="U30" s="3"/>
      <c r="V30" s="3" t="s">
        <v>54</v>
      </c>
      <c r="W30" s="3" t="s">
        <v>55</v>
      </c>
      <c r="X30" s="4" t="s">
        <v>56</v>
      </c>
      <c r="Y30" s="1"/>
      <c r="Z30" s="1"/>
      <c r="AA30" s="1"/>
      <c r="AB30" s="1"/>
      <c r="AC30" s="1"/>
      <c r="AD30" s="1"/>
    </row>
    <row r="31" spans="1:30" x14ac:dyDescent="0.3">
      <c r="A31" s="1"/>
      <c r="B31" s="9" t="s">
        <v>7</v>
      </c>
      <c r="C31" s="3" t="s">
        <v>1</v>
      </c>
      <c r="D31" s="4">
        <v>0.27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2" t="s">
        <v>96</v>
      </c>
      <c r="S31" s="3"/>
      <c r="T31" s="3">
        <v>-4.0261999999999999E-2</v>
      </c>
      <c r="U31" s="3"/>
      <c r="V31" s="3" t="s">
        <v>104</v>
      </c>
      <c r="W31" s="3"/>
      <c r="X31" s="4">
        <v>-0.13835</v>
      </c>
      <c r="Y31" s="1"/>
      <c r="Z31" s="1"/>
      <c r="AA31" s="1"/>
      <c r="AB31" s="1"/>
      <c r="AC31" s="1"/>
      <c r="AD31" s="1"/>
    </row>
    <row r="32" spans="1:30" x14ac:dyDescent="0.3">
      <c r="A32" s="1"/>
      <c r="B32" s="9" t="s">
        <v>8</v>
      </c>
      <c r="C32" s="3"/>
      <c r="D32" s="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2" t="s">
        <v>97</v>
      </c>
      <c r="S32" s="3"/>
      <c r="T32" s="3">
        <v>0.31146000000000001</v>
      </c>
      <c r="U32" s="3"/>
      <c r="V32" s="3" t="s">
        <v>105</v>
      </c>
      <c r="W32" s="3"/>
      <c r="X32" s="4">
        <v>-2.8121E-2</v>
      </c>
      <c r="Y32" s="1"/>
      <c r="Z32" s="1"/>
      <c r="AA32" s="1"/>
      <c r="AB32" s="1"/>
      <c r="AC32" s="1"/>
      <c r="AD32" s="1"/>
    </row>
    <row r="33" spans="1:30" x14ac:dyDescent="0.3">
      <c r="A33" s="1"/>
      <c r="B33" s="9" t="s">
        <v>9</v>
      </c>
      <c r="C33" s="3" t="s">
        <v>1</v>
      </c>
      <c r="D33" s="4">
        <v>7.3999999999999996E-2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2" t="s">
        <v>98</v>
      </c>
      <c r="S33" s="3"/>
      <c r="T33" s="15">
        <v>-1.6123000000000001E-5</v>
      </c>
      <c r="U33" s="3"/>
      <c r="V33" s="3" t="s">
        <v>106</v>
      </c>
      <c r="W33" s="3"/>
      <c r="X33" s="4">
        <v>0.14385999999999999</v>
      </c>
      <c r="Y33" s="1"/>
      <c r="Z33" s="1"/>
      <c r="AA33" s="1"/>
      <c r="AB33" s="1"/>
      <c r="AC33" s="1"/>
      <c r="AD33" s="1"/>
    </row>
    <row r="34" spans="1:30" x14ac:dyDescent="0.3">
      <c r="A34" s="1"/>
      <c r="B34" s="9" t="s">
        <v>10</v>
      </c>
      <c r="C34" s="3" t="s">
        <v>1</v>
      </c>
      <c r="D34" s="4">
        <v>5.8999999999999997E-2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2" t="s">
        <v>99</v>
      </c>
      <c r="S34" s="3"/>
      <c r="T34" s="3">
        <v>5.2576000000000001</v>
      </c>
      <c r="U34" s="3"/>
      <c r="V34" s="3" t="s">
        <v>107</v>
      </c>
      <c r="W34" s="3"/>
      <c r="X34" s="4">
        <v>8.8073000000000005E-3</v>
      </c>
      <c r="Y34" s="1"/>
      <c r="Z34" s="1"/>
      <c r="AA34" s="1"/>
      <c r="AB34" s="1"/>
      <c r="AC34" s="1"/>
      <c r="AD34" s="1"/>
    </row>
    <row r="35" spans="1:30" x14ac:dyDescent="0.3">
      <c r="A35" s="1"/>
      <c r="B35" s="9" t="s">
        <v>11</v>
      </c>
      <c r="C35" s="3" t="s">
        <v>1</v>
      </c>
      <c r="D35" s="4">
        <v>1.4999999999999999E-2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2" t="s">
        <v>100</v>
      </c>
      <c r="S35" s="3"/>
      <c r="T35" s="3">
        <v>5.0021000000000004</v>
      </c>
      <c r="U35" s="3"/>
      <c r="V35" s="3" t="s">
        <v>108</v>
      </c>
      <c r="W35" s="3"/>
      <c r="X35" s="4">
        <v>-0.54352999999999996</v>
      </c>
      <c r="Y35" s="1"/>
      <c r="Z35" s="1"/>
      <c r="AA35" s="1"/>
      <c r="AB35" s="1"/>
      <c r="AC35" s="1"/>
      <c r="AD35" s="1"/>
    </row>
    <row r="36" spans="1:30" x14ac:dyDescent="0.3">
      <c r="A36" s="1"/>
      <c r="B36" s="9" t="s">
        <v>12</v>
      </c>
      <c r="C36" s="3" t="s">
        <v>1</v>
      </c>
      <c r="D36" s="4">
        <v>6.2E-2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2" t="s">
        <v>101</v>
      </c>
      <c r="S36" s="3"/>
      <c r="T36" s="3">
        <v>-9.1924999999999993E-3</v>
      </c>
      <c r="U36" s="3"/>
      <c r="V36" s="3" t="s">
        <v>109</v>
      </c>
      <c r="W36" s="3"/>
      <c r="X36" s="4">
        <v>0.11964</v>
      </c>
      <c r="Y36" s="1"/>
      <c r="Z36" s="1"/>
      <c r="AA36" s="1"/>
      <c r="AB36" s="1"/>
      <c r="AC36" s="1"/>
      <c r="AD36" s="1"/>
    </row>
    <row r="37" spans="1:30" x14ac:dyDescent="0.3">
      <c r="A37" s="1"/>
      <c r="B37" s="9" t="s">
        <v>13</v>
      </c>
      <c r="C37" s="3" t="s">
        <v>1</v>
      </c>
      <c r="D37" s="4">
        <v>7.2999999999999995E-2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2" t="s">
        <v>102</v>
      </c>
      <c r="S37" s="3"/>
      <c r="T37" s="3">
        <v>-0.49436999999999998</v>
      </c>
      <c r="U37" s="3"/>
      <c r="V37" s="3" t="s">
        <v>110</v>
      </c>
      <c r="W37" s="3"/>
      <c r="X37" s="4">
        <v>6.5204999999999999E-2</v>
      </c>
      <c r="Y37" s="1"/>
      <c r="Z37" s="1"/>
      <c r="AA37" s="1"/>
      <c r="AB37" s="1"/>
      <c r="AC37" s="1"/>
      <c r="AD37" s="1"/>
    </row>
    <row r="38" spans="1:30" x14ac:dyDescent="0.3">
      <c r="A38" s="1"/>
      <c r="B38" s="9" t="s">
        <v>14</v>
      </c>
      <c r="C38" s="3" t="s">
        <v>1</v>
      </c>
      <c r="D38" s="4">
        <v>1.2E-2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2" t="s">
        <v>103</v>
      </c>
      <c r="S38" s="3"/>
      <c r="T38" s="3">
        <v>-18.908999999999999</v>
      </c>
      <c r="U38" s="3"/>
      <c r="V38" s="3" t="s">
        <v>111</v>
      </c>
      <c r="W38" s="3"/>
      <c r="X38" s="4">
        <v>-5.7494999999999997E-2</v>
      </c>
      <c r="Y38" s="1"/>
      <c r="Z38" s="1"/>
      <c r="AA38" s="1"/>
      <c r="AB38" s="1"/>
      <c r="AC38" s="1"/>
      <c r="AD38" s="1"/>
    </row>
    <row r="39" spans="1:30" x14ac:dyDescent="0.3">
      <c r="A39" s="1"/>
      <c r="B39" s="9" t="s">
        <v>15</v>
      </c>
      <c r="C39" s="3" t="s">
        <v>1</v>
      </c>
      <c r="D39" s="4">
        <v>0.107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2" t="s">
        <v>119</v>
      </c>
      <c r="S39" s="3"/>
      <c r="T39" s="3">
        <v>9.4359000000000005E-3</v>
      </c>
      <c r="U39" s="3"/>
      <c r="V39" s="3" t="s">
        <v>112</v>
      </c>
      <c r="W39" s="3"/>
      <c r="X39" s="4">
        <v>-6.5272999999999998E-2</v>
      </c>
      <c r="Y39" s="1"/>
      <c r="Z39" s="1"/>
      <c r="AA39" s="1"/>
      <c r="AB39" s="1"/>
      <c r="AC39" s="1"/>
      <c r="AD39" s="1"/>
    </row>
    <row r="40" spans="1:30" x14ac:dyDescent="0.3">
      <c r="A40" s="1"/>
      <c r="B40" s="9" t="s">
        <v>16</v>
      </c>
      <c r="C40" s="3" t="s">
        <v>1</v>
      </c>
      <c r="D40" s="4">
        <v>1E-3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2" t="s">
        <v>120</v>
      </c>
      <c r="S40" s="3"/>
      <c r="T40" s="3">
        <v>0</v>
      </c>
      <c r="U40" s="3"/>
      <c r="V40" s="3" t="s">
        <v>131</v>
      </c>
      <c r="W40" s="3"/>
      <c r="X40" s="16">
        <v>-9.6255999999999995E-5</v>
      </c>
      <c r="Y40" s="1"/>
      <c r="Z40" s="1"/>
      <c r="AA40" s="1"/>
      <c r="AB40" s="1"/>
      <c r="AC40" s="1"/>
      <c r="AD40" s="1"/>
    </row>
    <row r="41" spans="1:30" x14ac:dyDescent="0.3">
      <c r="A41" s="1"/>
      <c r="B41" s="9" t="s">
        <v>17</v>
      </c>
      <c r="C41" s="3" t="s">
        <v>1</v>
      </c>
      <c r="D41" s="4">
        <v>1.0999999999999999E-2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2" t="s">
        <v>121</v>
      </c>
      <c r="S41" s="3"/>
      <c r="T41" s="3">
        <v>0.27839000000000003</v>
      </c>
      <c r="U41" s="3"/>
      <c r="V41" s="3" t="s">
        <v>132</v>
      </c>
      <c r="W41" s="3"/>
      <c r="X41" s="4">
        <v>-8.6239000000000003E-3</v>
      </c>
      <c r="Y41" s="1"/>
      <c r="Z41" s="1"/>
      <c r="AA41" s="1"/>
      <c r="AB41" s="1"/>
      <c r="AC41" s="1"/>
      <c r="AD41" s="1"/>
    </row>
    <row r="42" spans="1:30" x14ac:dyDescent="0.3">
      <c r="A42" s="1"/>
      <c r="B42" s="9" t="s">
        <v>18</v>
      </c>
      <c r="C42" s="3" t="s">
        <v>1</v>
      </c>
      <c r="D42" s="4">
        <v>0.52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2" t="s">
        <v>122</v>
      </c>
      <c r="S42" s="3"/>
      <c r="T42" s="3">
        <v>0</v>
      </c>
      <c r="U42" s="3"/>
      <c r="V42" s="3" t="s">
        <v>133</v>
      </c>
      <c r="W42" s="3"/>
      <c r="X42" s="16">
        <v>6.5596E-5</v>
      </c>
      <c r="Y42" s="1"/>
      <c r="Z42" s="1"/>
      <c r="AA42" s="1"/>
      <c r="AB42" s="1"/>
      <c r="AC42" s="1"/>
      <c r="AD42" s="1"/>
    </row>
    <row r="43" spans="1:30" x14ac:dyDescent="0.3">
      <c r="A43" s="1"/>
      <c r="B43" s="9" t="s">
        <v>19</v>
      </c>
      <c r="C43" s="3" t="s">
        <v>1</v>
      </c>
      <c r="D43" s="4">
        <v>7.0000000000000007E-2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2" t="s">
        <v>123</v>
      </c>
      <c r="S43" s="3"/>
      <c r="T43" s="3">
        <v>1.0585</v>
      </c>
      <c r="U43" s="3"/>
      <c r="V43" s="3" t="s">
        <v>134</v>
      </c>
      <c r="W43" s="3"/>
      <c r="X43" s="4">
        <v>-0.27709</v>
      </c>
      <c r="Y43" s="1"/>
      <c r="Z43" s="1"/>
      <c r="AA43" s="1"/>
      <c r="AB43" s="1"/>
      <c r="AC43" s="1"/>
      <c r="AD43" s="1"/>
    </row>
    <row r="44" spans="1:30" x14ac:dyDescent="0.3">
      <c r="A44" s="1"/>
      <c r="B44" s="9" t="s">
        <v>20</v>
      </c>
      <c r="C44" s="3" t="s">
        <v>1</v>
      </c>
      <c r="D44" s="4">
        <v>-0.14000000000000001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2" t="s">
        <v>124</v>
      </c>
      <c r="S44" s="3"/>
      <c r="T44" s="3">
        <v>0</v>
      </c>
      <c r="U44" s="3"/>
      <c r="V44" s="3" t="s">
        <v>135</v>
      </c>
      <c r="W44" s="3"/>
      <c r="X44" s="16">
        <v>-1.4486E-6</v>
      </c>
      <c r="Y44" s="1"/>
      <c r="Z44" s="1"/>
      <c r="AA44" s="1"/>
      <c r="AB44" s="1"/>
      <c r="AC44" s="1"/>
      <c r="AD44" s="1"/>
    </row>
    <row r="45" spans="1:30" x14ac:dyDescent="0.3">
      <c r="A45" s="1"/>
      <c r="B45" s="9" t="s">
        <v>21</v>
      </c>
      <c r="C45" s="3"/>
      <c r="D45" s="4">
        <v>0.8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2"/>
      <c r="S45" s="3"/>
      <c r="T45" s="3"/>
      <c r="U45" s="3"/>
      <c r="V45" s="3" t="s">
        <v>136</v>
      </c>
      <c r="W45" s="3"/>
      <c r="X45" s="4">
        <v>3.1457999999999998E-3</v>
      </c>
      <c r="Y45" s="1"/>
      <c r="Z45" s="1"/>
      <c r="AA45" s="1"/>
      <c r="AB45" s="1"/>
      <c r="AC45" s="1"/>
      <c r="AD45" s="1"/>
    </row>
    <row r="46" spans="1:30" x14ac:dyDescent="0.3">
      <c r="A46" s="1"/>
      <c r="B46" s="9" t="s">
        <v>75</v>
      </c>
      <c r="C46" s="3" t="s">
        <v>38</v>
      </c>
      <c r="D46" s="4">
        <v>-1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2"/>
      <c r="S46" s="3"/>
      <c r="T46" s="3"/>
      <c r="U46" s="3"/>
      <c r="V46" s="3" t="s">
        <v>137</v>
      </c>
      <c r="W46" s="3"/>
      <c r="X46" s="16">
        <v>-1.6398000000000001E-5</v>
      </c>
      <c r="Y46" s="1"/>
      <c r="Z46" s="1"/>
      <c r="AA46" s="1"/>
      <c r="AB46" s="1"/>
      <c r="AC46" s="1"/>
      <c r="AD46" s="1"/>
    </row>
    <row r="47" spans="1:30" x14ac:dyDescent="0.3">
      <c r="A47" s="1"/>
      <c r="B47" s="9" t="s">
        <v>171</v>
      </c>
      <c r="C47" s="3" t="s">
        <v>0</v>
      </c>
      <c r="D47" s="4">
        <v>1.4999999999999999E-2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2"/>
      <c r="S47" s="3"/>
      <c r="T47" s="3"/>
      <c r="U47" s="3"/>
      <c r="V47" s="3" t="s">
        <v>138</v>
      </c>
      <c r="W47" s="3"/>
      <c r="X47" s="4">
        <v>7.7432000000000001E-2</v>
      </c>
      <c r="Y47" s="1"/>
      <c r="Z47" s="1"/>
      <c r="AA47" s="1"/>
      <c r="AB47" s="1"/>
      <c r="AC47" s="1"/>
      <c r="AD47" s="1"/>
    </row>
    <row r="48" spans="1:30" x14ac:dyDescent="0.3">
      <c r="A48" s="1"/>
      <c r="B48" s="9"/>
      <c r="D48" s="10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2"/>
      <c r="S48" s="3"/>
      <c r="T48" s="3"/>
      <c r="U48" s="3"/>
      <c r="V48" s="3" t="s">
        <v>139</v>
      </c>
      <c r="W48" s="3"/>
      <c r="X48" s="16">
        <v>2.7771999999999999E-6</v>
      </c>
      <c r="Y48" s="1"/>
      <c r="Z48" s="1"/>
      <c r="AA48" s="1"/>
      <c r="AB48" s="1"/>
      <c r="AC48" s="1"/>
      <c r="AD48" s="1"/>
    </row>
    <row r="49" spans="1:30" x14ac:dyDescent="0.3">
      <c r="A49" s="1"/>
      <c r="B49" s="21" t="s">
        <v>58</v>
      </c>
      <c r="C49" s="22"/>
      <c r="D49" s="2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2"/>
      <c r="S49" s="3"/>
      <c r="T49" s="3"/>
      <c r="U49" s="3"/>
      <c r="V49" s="3" t="s">
        <v>140</v>
      </c>
      <c r="W49" s="3"/>
      <c r="X49" s="4">
        <v>-2.2861000000000001E-3</v>
      </c>
      <c r="Y49" s="1"/>
      <c r="Z49" s="1"/>
      <c r="AA49" s="1"/>
      <c r="AB49" s="1"/>
      <c r="AC49" s="1"/>
      <c r="AD49" s="1"/>
    </row>
    <row r="50" spans="1:30" x14ac:dyDescent="0.3">
      <c r="A50" s="1"/>
      <c r="B50" s="2" t="s">
        <v>54</v>
      </c>
      <c r="C50" s="3" t="s">
        <v>55</v>
      </c>
      <c r="D50" s="4" t="s">
        <v>56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2"/>
      <c r="S50" s="3"/>
      <c r="T50" s="3"/>
      <c r="U50" s="3"/>
      <c r="V50" s="3" t="s">
        <v>141</v>
      </c>
      <c r="W50" s="3"/>
      <c r="X50" s="16">
        <v>3.0174999999999999E-6</v>
      </c>
      <c r="Y50" s="1"/>
      <c r="Z50" s="1"/>
      <c r="AA50" s="1"/>
      <c r="AB50" s="1"/>
      <c r="AC50" s="1"/>
      <c r="AD50" s="1"/>
    </row>
    <row r="51" spans="1:30" ht="15" thickBot="1" x14ac:dyDescent="0.35">
      <c r="A51" s="1"/>
      <c r="B51" s="9" t="s">
        <v>40</v>
      </c>
      <c r="C51" s="3"/>
      <c r="D51" s="4">
        <v>4.54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5"/>
      <c r="S51" s="6"/>
      <c r="T51" s="6"/>
      <c r="U51" s="6"/>
      <c r="V51" s="6" t="s">
        <v>142</v>
      </c>
      <c r="W51" s="6"/>
      <c r="X51" s="7">
        <v>-3.8530000000000002E-2</v>
      </c>
      <c r="Y51" s="1"/>
      <c r="Z51" s="1"/>
      <c r="AA51" s="1"/>
      <c r="AB51" s="1"/>
      <c r="AC51" s="1"/>
      <c r="AD51" s="1"/>
    </row>
    <row r="52" spans="1:30" x14ac:dyDescent="0.3">
      <c r="A52" s="1"/>
      <c r="B52" s="9" t="s">
        <v>41</v>
      </c>
      <c r="C52" s="3" t="s">
        <v>4</v>
      </c>
      <c r="D52" s="4">
        <v>0.01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3">
      <c r="A53" s="1"/>
      <c r="B53" s="9" t="s">
        <v>42</v>
      </c>
      <c r="C53" s="3"/>
      <c r="D53" s="4" t="s">
        <v>43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3">
      <c r="A54" s="1"/>
      <c r="B54" s="9" t="s">
        <v>44</v>
      </c>
      <c r="C54" s="3" t="s">
        <v>1</v>
      </c>
      <c r="D54" s="4">
        <v>0.08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3">
      <c r="A55" s="1"/>
      <c r="B55" s="9" t="s">
        <v>45</v>
      </c>
      <c r="C55" s="3" t="s">
        <v>1</v>
      </c>
      <c r="D55" s="4">
        <v>8.7999999999999995E-2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3">
      <c r="A56" s="1"/>
      <c r="B56" s="9" t="s">
        <v>46</v>
      </c>
      <c r="C56" s="3" t="s">
        <v>1</v>
      </c>
      <c r="D56" s="4">
        <v>5.2999999999999999E-2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3">
      <c r="A57" s="1"/>
      <c r="B57" s="9" t="s">
        <v>47</v>
      </c>
      <c r="C57" s="3" t="s">
        <v>1</v>
      </c>
      <c r="D57" s="4">
        <v>3.5000000000000003E-2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3">
      <c r="A58" s="1"/>
      <c r="B58" s="9" t="s">
        <v>48</v>
      </c>
      <c r="C58" s="3" t="s">
        <v>1</v>
      </c>
      <c r="D58" s="4">
        <v>7.0000000000000007E-2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3">
      <c r="A59" s="1"/>
      <c r="B59" s="9" t="s">
        <v>49</v>
      </c>
      <c r="C59" s="3"/>
      <c r="D59" s="4">
        <v>0.6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3">
      <c r="A60" s="1"/>
      <c r="B60" s="9" t="s">
        <v>50</v>
      </c>
      <c r="C60" s="3" t="s">
        <v>1</v>
      </c>
      <c r="D60" s="4">
        <v>0.5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3">
      <c r="A61" s="1"/>
      <c r="B61" s="9" t="s">
        <v>20</v>
      </c>
      <c r="C61" s="3" t="s">
        <v>1</v>
      </c>
      <c r="D61" s="4">
        <v>-0.14000000000000001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5" thickBot="1" x14ac:dyDescent="0.35">
      <c r="A62" s="1"/>
      <c r="B62" s="11" t="s">
        <v>172</v>
      </c>
      <c r="C62" s="6" t="s">
        <v>0</v>
      </c>
      <c r="D62" s="7">
        <v>0.01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</sheetData>
  <mergeCells count="14">
    <mergeCell ref="Z3:AC3"/>
    <mergeCell ref="J3:L3"/>
    <mergeCell ref="B49:D49"/>
    <mergeCell ref="B26:D26"/>
    <mergeCell ref="R29:T29"/>
    <mergeCell ref="V29:X29"/>
    <mergeCell ref="B3:D3"/>
    <mergeCell ref="B4:D4"/>
    <mergeCell ref="F3:H3"/>
    <mergeCell ref="N3:P3"/>
    <mergeCell ref="R4:T4"/>
    <mergeCell ref="R3:T3"/>
    <mergeCell ref="V3:X3"/>
    <mergeCell ref="V4:X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aircraft_datasheet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Yuksel Berk Arpaciogullari</dc:creator>
  <cp:lastModifiedBy>Yuksel Berk Arpaciogullari</cp:lastModifiedBy>
  <dcterms:created xsi:type="dcterms:W3CDTF">2026-02-08T11:44:06Z</dcterms:created>
  <dcterms:modified xsi:type="dcterms:W3CDTF">2026-02-18T15:54:58Z</dcterms:modified>
</cp:coreProperties>
</file>