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50d7a97053385/Desktop/AutoTwin/campaigns/small_battery_UAV_lift_cruise/"/>
    </mc:Choice>
  </mc:AlternateContent>
  <xr:revisionPtr revIDLastSave="0" documentId="11_08C97186478FDB80DF2987F314F223CF5C0A00AF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AV Design Requirements" sheetId="1" r:id="rId1"/>
  </sheets>
  <definedNames>
    <definedName name="_xlnm._FilterDatabase" localSheetId="0" hidden="1">'UAV Design Requirements'!$A$1:$I$360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4" i="1" l="1"/>
  <c r="I18" i="1" s="1"/>
  <c r="I331" i="1" s="1"/>
  <c r="I193" i="1"/>
  <c r="I185" i="1"/>
  <c r="I164" i="1"/>
  <c r="I63" i="1"/>
  <c r="I73" i="1" s="1"/>
  <c r="I74" i="1" s="1"/>
  <c r="I41" i="1"/>
  <c r="I25" i="1"/>
  <c r="I23" i="1"/>
  <c r="I21" i="1"/>
  <c r="I19" i="1"/>
  <c r="I12" i="1"/>
  <c r="I11" i="1"/>
  <c r="I10" i="1"/>
  <c r="I9" i="1"/>
  <c r="I8" i="1"/>
  <c r="I7" i="1"/>
  <c r="I4" i="1"/>
  <c r="I113" i="1" l="1"/>
  <c r="I125" i="1" s="1"/>
  <c r="I128" i="1" s="1"/>
  <c r="I236" i="1"/>
  <c r="I68" i="1"/>
  <c r="I70" i="1"/>
  <c r="I212" i="1"/>
  <c r="I220" i="1"/>
  <c r="I228" i="1"/>
  <c r="I131" i="1" l="1"/>
  <c r="I132" i="1" s="1"/>
  <c r="I124" i="1"/>
  <c r="I71" i="1"/>
  <c r="I69" i="1"/>
  <c r="I72" i="1" l="1"/>
  <c r="I157" i="1"/>
  <c r="I227" i="1" l="1"/>
  <c r="I235" i="1" s="1"/>
  <c r="I211" i="1"/>
  <c r="I219" i="1" s="1"/>
  <c r="I112" i="1"/>
  <c r="I75" i="1"/>
  <c r="I111" i="1" l="1"/>
  <c r="I115" i="1"/>
  <c r="I116" i="1" l="1"/>
  <c r="I114" i="1" l="1"/>
  <c r="I122" i="1"/>
  <c r="I123" i="1" s="1"/>
  <c r="I119" i="1"/>
  <c r="I117" i="1"/>
  <c r="I120" i="1" l="1"/>
  <c r="I121" i="1" s="1"/>
  <c r="I118" i="1"/>
  <c r="I127" i="1"/>
  <c r="I126" i="1" s="1"/>
  <c r="I129" i="1" s="1"/>
  <c r="I130" i="1" s="1"/>
</calcChain>
</file>

<file path=xl/sharedStrings.xml><?xml version="1.0" encoding="utf-8"?>
<sst xmlns="http://schemas.openxmlformats.org/spreadsheetml/2006/main" count="1837" uniqueCount="807">
  <si>
    <t>Rquirement ID</t>
  </si>
  <si>
    <t>Component</t>
  </si>
  <si>
    <t>Statement</t>
  </si>
  <si>
    <t>Rationale</t>
  </si>
  <si>
    <t>Parameter</t>
  </si>
  <si>
    <t>Value</t>
  </si>
  <si>
    <t>Parameter Kind</t>
  </si>
  <si>
    <t xml:space="preserve">Parameter Kind </t>
  </si>
  <si>
    <t>MISSION-001</t>
  </si>
  <si>
    <t>MISSION</t>
  </si>
  <si>
    <t>t_hover</t>
  </si>
  <si>
    <t>known variable</t>
  </si>
  <si>
    <t>MISSION-002</t>
  </si>
  <si>
    <t>t_vertical_climb</t>
  </si>
  <si>
    <t>MISSION-003</t>
  </si>
  <si>
    <t>range_cruise</t>
  </si>
  <si>
    <t>computed variable</t>
  </si>
  <si>
    <t>MISSION-004</t>
  </si>
  <si>
    <t>b_cruise</t>
  </si>
  <si>
    <t>1</t>
  </si>
  <si>
    <t>MISSION-005</t>
  </si>
  <si>
    <t>b_climb</t>
  </si>
  <si>
    <t>MISSION-006</t>
  </si>
  <si>
    <t>h_cruise</t>
  </si>
  <si>
    <t>MISSION-007</t>
  </si>
  <si>
    <t>h_climb_start</t>
  </si>
  <si>
    <t>MISSION-008</t>
  </si>
  <si>
    <t>h_hover</t>
  </si>
  <si>
    <t>MISSION-009</t>
  </si>
  <si>
    <t>theta_climb</t>
  </si>
  <si>
    <t>10</t>
  </si>
  <si>
    <t>MISSION-010</t>
  </si>
  <si>
    <t>g</t>
  </si>
  <si>
    <t>9.81</t>
  </si>
  <si>
    <t>MISSION-011</t>
  </si>
  <si>
    <t>vertical_climb_factor</t>
  </si>
  <si>
    <t>MISSION-012</t>
  </si>
  <si>
    <t>t_trip</t>
  </si>
  <si>
    <t>71.41642790978534</t>
  </si>
  <si>
    <t>unused variable</t>
  </si>
  <si>
    <t>MISSION-013</t>
  </si>
  <si>
    <t>t_cruise</t>
  </si>
  <si>
    <t>66.66666838837901</t>
  </si>
  <si>
    <t>MISSION-014</t>
  </si>
  <si>
    <t>t_climb</t>
  </si>
  <si>
    <t>0.7497595214063256</t>
  </si>
  <si>
    <t>MISSION-015</t>
  </si>
  <si>
    <t>e_trip</t>
  </si>
  <si>
    <t>98.58409245156757</t>
  </si>
  <si>
    <t>SYSTEM-001</t>
  </si>
  <si>
    <t>SYSTEM</t>
  </si>
  <si>
    <t>MTOM</t>
  </si>
  <si>
    <t>2.176289500734772</t>
  </si>
  <si>
    <t>optimization variable</t>
  </si>
  <si>
    <t>SYSTEM-002</t>
  </si>
  <si>
    <t>MTOM_bounds</t>
  </si>
  <si>
    <t>[1.0, 8.0]</t>
  </si>
  <si>
    <t>SYSTEM-003</t>
  </si>
  <si>
    <t>V_cruise</t>
  </si>
  <si>
    <t>19.99999948348631</t>
  </si>
  <si>
    <t>SYSTEM-004</t>
  </si>
  <si>
    <t>V_cruise_bounds</t>
  </si>
  <si>
    <t>[10.0, 20.0]</t>
  </si>
  <si>
    <t>SYSTEM-005</t>
  </si>
  <si>
    <t>V_climb</t>
  </si>
  <si>
    <t>10.241097878676078</t>
  </si>
  <si>
    <t>SYSTEM-006</t>
  </si>
  <si>
    <t>V_climb_bounds</t>
  </si>
  <si>
    <t>SYSTEM-007</t>
  </si>
  <si>
    <t>stall_margin</t>
  </si>
  <si>
    <t>SYSTEM-008</t>
  </si>
  <si>
    <t>V_stall</t>
  </si>
  <si>
    <t>11.956288350847041</t>
  </si>
  <si>
    <t>SYSTEM-009</t>
  </si>
  <si>
    <t>CD0</t>
  </si>
  <si>
    <t>SYSTEM-010</t>
  </si>
  <si>
    <t>CL_max</t>
  </si>
  <si>
    <t>1.6</t>
  </si>
  <si>
    <t>SYSTEM-011</t>
  </si>
  <si>
    <t>CL_cruise</t>
  </si>
  <si>
    <t>0.5718113540492415</t>
  </si>
  <si>
    <t>SYSTEM-012</t>
  </si>
  <si>
    <t>CD_cruise</t>
  </si>
  <si>
    <t>0.04530551325972506</t>
  </si>
  <si>
    <t>SYSTEM-013</t>
  </si>
  <si>
    <t>LD_cruise</t>
  </si>
  <si>
    <t>12.621231124150201</t>
  </si>
  <si>
    <t>SYSTEM-014</t>
  </si>
  <si>
    <t>l_max</t>
  </si>
  <si>
    <t>SYSTEM-015</t>
  </si>
  <si>
    <t>P_hover</t>
  </si>
  <si>
    <t>317.58847941413944</t>
  </si>
  <si>
    <t>SYSTEM-016</t>
  </si>
  <si>
    <t>P_cruise</t>
  </si>
  <si>
    <t>46.987403035495866</t>
  </si>
  <si>
    <t>SYSTEM-017</t>
  </si>
  <si>
    <t>P_climb</t>
  </si>
  <si>
    <t>59.02397934761201</t>
  </si>
  <si>
    <t>SYSTEM-018</t>
  </si>
  <si>
    <t>P_vertical_climb</t>
  </si>
  <si>
    <t>898.275869681849</t>
  </si>
  <si>
    <t>SYSTEM-019</t>
  </si>
  <si>
    <t>energy_stored_onboard</t>
  </si>
  <si>
    <t>SYSTEM-020</t>
  </si>
  <si>
    <t>wing_loading</t>
  </si>
  <si>
    <t>138.8873420054167</t>
  </si>
  <si>
    <t>SYSTEM-021</t>
  </si>
  <si>
    <t>disk_loading</t>
  </si>
  <si>
    <t>214.975189101508</t>
  </si>
  <si>
    <t>SYSTEM-022</t>
  </si>
  <si>
    <t>tol_mass_kg</t>
  </si>
  <si>
    <t>0.05</t>
  </si>
  <si>
    <t>SYSTEM-023</t>
  </si>
  <si>
    <t>max_length</t>
  </si>
  <si>
    <t>0.6683871430078412</t>
  </si>
  <si>
    <t>SYSTEM-024</t>
  </si>
  <si>
    <t>system_cost</t>
  </si>
  <si>
    <t>unknown variable</t>
  </si>
  <si>
    <t>MAIN_WING-001</t>
  </si>
  <si>
    <t>MAIN_WING</t>
  </si>
  <si>
    <t>S_wing</t>
  </si>
  <si>
    <t>0.1537173920527291</t>
  </si>
  <si>
    <t>MAIN_WING-002</t>
  </si>
  <si>
    <t>S_wing_bounds</t>
  </si>
  <si>
    <t>[0.01, 20.0]</t>
  </si>
  <si>
    <t>MAIN_WING-003</t>
  </si>
  <si>
    <t>AR_wing</t>
  </si>
  <si>
    <t>7.999979107740558</t>
  </si>
  <si>
    <t>MAIN_WING-004</t>
  </si>
  <si>
    <t>AR_wing_bounds</t>
  </si>
  <si>
    <t>[6.0, 8.0]</t>
  </si>
  <si>
    <t>MAIN_WING-005</t>
  </si>
  <si>
    <t>theta_wing</t>
  </si>
  <si>
    <t>MAIN_WING-006</t>
  </si>
  <si>
    <t>taper_ratio_wing</t>
  </si>
  <si>
    <t>0.8</t>
  </si>
  <si>
    <t>MAIN_WING-007</t>
  </si>
  <si>
    <t>t_over_c_wing</t>
  </si>
  <si>
    <t>0.12</t>
  </si>
  <si>
    <t>MAIN_WING-008</t>
  </si>
  <si>
    <t>e_wing</t>
  </si>
  <si>
    <t>0.85</t>
  </si>
  <si>
    <t>MAIN_WING-009</t>
  </si>
  <si>
    <t>x_loc_wing</t>
  </si>
  <si>
    <t>0</t>
  </si>
  <si>
    <t>MAIN_WING-010</t>
  </si>
  <si>
    <t>y_loc_wing</t>
  </si>
  <si>
    <t>MAIN_WING-011</t>
  </si>
  <si>
    <t>z_loc_wing</t>
  </si>
  <si>
    <t>MAIN_WING-012</t>
  </si>
  <si>
    <t>x_rot_wing</t>
  </si>
  <si>
    <t>MAIN_WING-013</t>
  </si>
  <si>
    <t>y_rot_wing</t>
  </si>
  <si>
    <t>MAIN_WING-014</t>
  </si>
  <si>
    <t>z_rot_wing</t>
  </si>
  <si>
    <t>MAIN_WING-015</t>
  </si>
  <si>
    <t>root_ThickChord_wing</t>
  </si>
  <si>
    <t>MAIN_WING-016</t>
  </si>
  <si>
    <t>root_Camber_wing</t>
  </si>
  <si>
    <t>MAIN_WING-017</t>
  </si>
  <si>
    <t>root_CamberLoc_wing</t>
  </si>
  <si>
    <t>0.4</t>
  </si>
  <si>
    <t>MAIN_WING-018</t>
  </si>
  <si>
    <t>tip_ThickChord_wing</t>
  </si>
  <si>
    <t>MAIN_WING-019</t>
  </si>
  <si>
    <t>tip_Camber_wing</t>
  </si>
  <si>
    <t>MAIN_WING-020</t>
  </si>
  <si>
    <t>tip_CamberLoc_wing</t>
  </si>
  <si>
    <t>MAIN_WING-021</t>
  </si>
  <si>
    <t>b_wing</t>
  </si>
  <si>
    <t>1.1089345900088956</t>
  </si>
  <si>
    <t>MAIN_WING-022</t>
  </si>
  <si>
    <t>b_wing_bounds</t>
  </si>
  <si>
    <t>[0.0, 3.0]</t>
  </si>
  <si>
    <t>MAIN_WING-023</t>
  </si>
  <si>
    <t>aileron_hinge</t>
  </si>
  <si>
    <t>MAIN_WING-024</t>
  </si>
  <si>
    <t>aileron_start</t>
  </si>
  <si>
    <t>MAIN_WING-025</t>
  </si>
  <si>
    <t>aileron_end</t>
  </si>
  <si>
    <t>MAIN_WING-026</t>
  </si>
  <si>
    <t>c_root_wing</t>
  </si>
  <si>
    <t>0.15401909528265326</t>
  </si>
  <si>
    <t>MAIN_WING-027</t>
  </si>
  <si>
    <t>c_tip_wing</t>
  </si>
  <si>
    <t>0.1232152762261226</t>
  </si>
  <si>
    <t>MAIN_WING-028</t>
  </si>
  <si>
    <t>c_tip_wing_x</t>
  </si>
  <si>
    <t>MAIN_WING-029</t>
  </si>
  <si>
    <t>mac_wing</t>
  </si>
  <si>
    <t>MAIN_WING-030</t>
  </si>
  <si>
    <t>quarter_chord_wing</t>
  </si>
  <si>
    <t>MAIN_WING-031</t>
  </si>
  <si>
    <t>mac_wing_y</t>
  </si>
  <si>
    <t>MAIN_WING-032</t>
  </si>
  <si>
    <t>mac_wing_x</t>
  </si>
  <si>
    <t>MAIN_WING-033</t>
  </si>
  <si>
    <t>cg_x</t>
  </si>
  <si>
    <t>TAIL-001</t>
  </si>
  <si>
    <t>TAIL</t>
  </si>
  <si>
    <t>c_HT</t>
  </si>
  <si>
    <t>TAIL-002</t>
  </si>
  <si>
    <t>c_VT</t>
  </si>
  <si>
    <t>TAIL-003</t>
  </si>
  <si>
    <t>AR_hstab</t>
  </si>
  <si>
    <t>TAIL-004</t>
  </si>
  <si>
    <t>AR_vstab</t>
  </si>
  <si>
    <t>TAIL-005</t>
  </si>
  <si>
    <t>taper_ratio_hstab</t>
  </si>
  <si>
    <t>TAIL-006</t>
  </si>
  <si>
    <t>taper_ratio_vstab</t>
  </si>
  <si>
    <t>TAIL-007</t>
  </si>
  <si>
    <t>theta_hstab</t>
  </si>
  <si>
    <t>TAIL-008</t>
  </si>
  <si>
    <t>theta_vstab</t>
  </si>
  <si>
    <t>TAIL-009</t>
  </si>
  <si>
    <t>z_loc_vstab</t>
  </si>
  <si>
    <t>TAIL-010</t>
  </si>
  <si>
    <t>x_rot_hstab</t>
  </si>
  <si>
    <t>TAIL-011</t>
  </si>
  <si>
    <t>x_rot_vstab</t>
  </si>
  <si>
    <t>TAIL-012</t>
  </si>
  <si>
    <t>y_rot_hstab</t>
  </si>
  <si>
    <t>TAIL-013</t>
  </si>
  <si>
    <t>y_rot_vstab</t>
  </si>
  <si>
    <t>TAIL-014</t>
  </si>
  <si>
    <t>z_rot_hstab</t>
  </si>
  <si>
    <t>TAIL-015</t>
  </si>
  <si>
    <t>z_rot_vstab</t>
  </si>
  <si>
    <t>TAIL-016</t>
  </si>
  <si>
    <t>root_ThickChord_hstab</t>
  </si>
  <si>
    <t>TAIL-017</t>
  </si>
  <si>
    <t>root_ThickChord_vstab</t>
  </si>
  <si>
    <t>TAIL-018</t>
  </si>
  <si>
    <t>root_Camber_hstab</t>
  </si>
  <si>
    <t>TAIL-019</t>
  </si>
  <si>
    <t>root_Camber_vstab</t>
  </si>
  <si>
    <t>TAIL-020</t>
  </si>
  <si>
    <t>root_CamberLoc_hstab</t>
  </si>
  <si>
    <t>TAIL-021</t>
  </si>
  <si>
    <t>root_CamberLoc_vstab</t>
  </si>
  <si>
    <t>TAIL-022</t>
  </si>
  <si>
    <t>tip_ThickChord_hstab</t>
  </si>
  <si>
    <t>TAIL-023</t>
  </si>
  <si>
    <t>tip_ThickChord_vstab</t>
  </si>
  <si>
    <t>TAIL-024</t>
  </si>
  <si>
    <t>tip_Camber_hstab</t>
  </si>
  <si>
    <t>TAIL-025</t>
  </si>
  <si>
    <t>tip_Camber_vstab</t>
  </si>
  <si>
    <t>TAIL-026</t>
  </si>
  <si>
    <t>tip_CamberLoc_hstab</t>
  </si>
  <si>
    <t>TAIL-027</t>
  </si>
  <si>
    <t>tip_CamberLoc_vstab</t>
  </si>
  <si>
    <t>TAIL-028</t>
  </si>
  <si>
    <t>ctrl_hinge_hstab</t>
  </si>
  <si>
    <t>TAIL-029</t>
  </si>
  <si>
    <t>ctrl_hinge_vstab</t>
  </si>
  <si>
    <t>TAIL-030</t>
  </si>
  <si>
    <t>ctrl_start_hstab</t>
  </si>
  <si>
    <t>TAIL-031</t>
  </si>
  <si>
    <t>ctrl_start_vstab</t>
  </si>
  <si>
    <t>TAIL-032</t>
  </si>
  <si>
    <t>ctrl_end_hstab</t>
  </si>
  <si>
    <t>TAIL-033</t>
  </si>
  <si>
    <t>ctrl_end_vstab</t>
  </si>
  <si>
    <t>TAIL-034</t>
  </si>
  <si>
    <t>tail_rotor_clearance</t>
  </si>
  <si>
    <t>TAIL-035</t>
  </si>
  <si>
    <t>x_loc_hstab</t>
  </si>
  <si>
    <t>0.35164424539739125</t>
  </si>
  <si>
    <t>TAIL-036</t>
  </si>
  <si>
    <t>x_loc_vstab</t>
  </si>
  <si>
    <t>TAIL-037</t>
  </si>
  <si>
    <t>y_loc_vstab</t>
  </si>
  <si>
    <t>0.16200034611645148</t>
  </si>
  <si>
    <t>TAIL-038</t>
  </si>
  <si>
    <t>z_loc_hstab</t>
  </si>
  <si>
    <t>0.19067481923338375</t>
  </si>
  <si>
    <t>TAIL-039</t>
  </si>
  <si>
    <t>S_vstab</t>
  </si>
  <si>
    <t>0.014542754675873428</t>
  </si>
  <si>
    <t>TAIL-040</t>
  </si>
  <si>
    <t>b_vstab</t>
  </si>
  <si>
    <t>TAIL-041</t>
  </si>
  <si>
    <t>c_root_vstab</t>
  </si>
  <si>
    <t>0.0762699276933535</t>
  </si>
  <si>
    <t>TAIL-042</t>
  </si>
  <si>
    <t>c_tip_vstab</t>
  </si>
  <si>
    <t>TAIL-043</t>
  </si>
  <si>
    <t>c_tip_vstab_x</t>
  </si>
  <si>
    <t>TAIL-044</t>
  </si>
  <si>
    <t>mac_vstab</t>
  </si>
  <si>
    <t>TAIL-045</t>
  </si>
  <si>
    <t>quarter_chord_vstab</t>
  </si>
  <si>
    <t>TAIL-046</t>
  </si>
  <si>
    <t>mac_vstab_y</t>
  </si>
  <si>
    <t>TAIL-047</t>
  </si>
  <si>
    <t>mac_vstab_x</t>
  </si>
  <si>
    <t>TAIL-048</t>
  </si>
  <si>
    <t>S_hstab</t>
  </si>
  <si>
    <t>0.013122056070925038</t>
  </si>
  <si>
    <t>TAIL-049</t>
  </si>
  <si>
    <t>b_hstab</t>
  </si>
  <si>
    <t>0.32400069223290295</t>
  </si>
  <si>
    <t>TAIL-050</t>
  </si>
  <si>
    <t>c_root_hstab</t>
  </si>
  <si>
    <t>TAIL-051</t>
  </si>
  <si>
    <t>c_tip_hstab</t>
  </si>
  <si>
    <t>TAIL-052</t>
  </si>
  <si>
    <t>c_tip_hstab_x</t>
  </si>
  <si>
    <t>TAIL-053</t>
  </si>
  <si>
    <t>mac_hstab</t>
  </si>
  <si>
    <t>TAIL-054</t>
  </si>
  <si>
    <t>quarter_chord_hstab</t>
  </si>
  <si>
    <t>TAIL-055</t>
  </si>
  <si>
    <t>mac_hstab_y</t>
  </si>
  <si>
    <t>TAIL-056</t>
  </si>
  <si>
    <t>mac_hstab_x</t>
  </si>
  <si>
    <t>FUSELAGE-001</t>
  </si>
  <si>
    <t>FUSELAGE</t>
  </si>
  <si>
    <t>fuselage_l</t>
  </si>
  <si>
    <t>FUSELAGE-002</t>
  </si>
  <si>
    <t>fuselage_w</t>
  </si>
  <si>
    <t>FUSELAGE-003</t>
  </si>
  <si>
    <t>motor_mount_extension</t>
  </si>
  <si>
    <t>0.01</t>
  </si>
  <si>
    <t>FUSELAGE-004</t>
  </si>
  <si>
    <t>hover_rotor_clearance</t>
  </si>
  <si>
    <t>FUSELAGE-005</t>
  </si>
  <si>
    <t>fuselage_y_loc</t>
  </si>
  <si>
    <t>FUSELAGE-006</t>
  </si>
  <si>
    <t>fuselage_x_loc</t>
  </si>
  <si>
    <t>FUSELAGE-007</t>
  </si>
  <si>
    <t>fuselage_z_loc</t>
  </si>
  <si>
    <t>FUSELAGE-008</t>
  </si>
  <si>
    <t>fuselage_XSec_0_XLoc</t>
  </si>
  <si>
    <t>0.0</t>
  </si>
  <si>
    <t>FUSELAGE-009</t>
  </si>
  <si>
    <t>fuselage_XSec_1_XLoc</t>
  </si>
  <si>
    <t>0.2</t>
  </si>
  <si>
    <t>FUSELAGE-010</t>
  </si>
  <si>
    <t>fuselage_XSec_2_XLoc</t>
  </si>
  <si>
    <t>FUSELAGE-011</t>
  </si>
  <si>
    <t>fuselage_XSec_3_XLoc</t>
  </si>
  <si>
    <t>1.0</t>
  </si>
  <si>
    <t>FUSELAGE-012</t>
  </si>
  <si>
    <t>fuselage_XSec_0_ZLoc</t>
  </si>
  <si>
    <t>FUSELAGE-013</t>
  </si>
  <si>
    <t>fuselage_XSec_1_ZLoc</t>
  </si>
  <si>
    <t>FUSELAGE-014</t>
  </si>
  <si>
    <t>fuselage_XSec_2_ZLoc</t>
  </si>
  <si>
    <t>FUSELAGE-015</t>
  </si>
  <si>
    <t>fuselage_XSec_3_ZLoc</t>
  </si>
  <si>
    <t>FUSELAGE-016</t>
  </si>
  <si>
    <t>fuselage_XSec_0_w</t>
  </si>
  <si>
    <t>0.1</t>
  </si>
  <si>
    <t>FUSELAGE-017</t>
  </si>
  <si>
    <t>fuselage_XSec_1_w</t>
  </si>
  <si>
    <t>FUSELAGE-018</t>
  </si>
  <si>
    <t>fuselage_XSec_2_w</t>
  </si>
  <si>
    <t>FUSELAGE-019</t>
  </si>
  <si>
    <t>fuselage_XSec_3_w</t>
  </si>
  <si>
    <t>FUSELAGE-020</t>
  </si>
  <si>
    <t>fuselage_XSec_0_h</t>
  </si>
  <si>
    <t>FUSELAGE-021</t>
  </si>
  <si>
    <t>fuselage_XSec_1_h</t>
  </si>
  <si>
    <t>0.22</t>
  </si>
  <si>
    <t>FUSELAGE-022</t>
  </si>
  <si>
    <t>fuselage_XSec_2_h</t>
  </si>
  <si>
    <t>FUSELAGE-023</t>
  </si>
  <si>
    <t>fuselage_XSec_3_h</t>
  </si>
  <si>
    <t>0.14</t>
  </si>
  <si>
    <t>FUSELAGE-024</t>
  </si>
  <si>
    <t>rotor_arm</t>
  </si>
  <si>
    <t>BATTERY-001</t>
  </si>
  <si>
    <t>BATTERY</t>
  </si>
  <si>
    <t>product_link_battery</t>
  </si>
  <si>
    <t>link</t>
  </si>
  <si>
    <t>matched variable</t>
  </si>
  <si>
    <t>BATTERY-002</t>
  </si>
  <si>
    <t>rho_battery</t>
  </si>
  <si>
    <t>180</t>
  </si>
  <si>
    <t>BATTERY-003</t>
  </si>
  <si>
    <t>e_usable_battery</t>
  </si>
  <si>
    <t>BATTERY-004</t>
  </si>
  <si>
    <t>mass_battery</t>
  </si>
  <si>
    <t>0.5476894025087088</t>
  </si>
  <si>
    <t>BATTERY-005</t>
  </si>
  <si>
    <t>energy_battery</t>
  </si>
  <si>
    <t>83.79647858383244</t>
  </si>
  <si>
    <t>BATTERY-006</t>
  </si>
  <si>
    <t>energy_battery_stored</t>
  </si>
  <si>
    <t>BATTERY-007</t>
  </si>
  <si>
    <t>max_length_battery</t>
  </si>
  <si>
    <t>BATTERY-008</t>
  </si>
  <si>
    <t>max_width_battery</t>
  </si>
  <si>
    <t>BATTERY-009</t>
  </si>
  <si>
    <t>max_height_battery</t>
  </si>
  <si>
    <t>BATTERY-010</t>
  </si>
  <si>
    <t>cost_battery</t>
  </si>
  <si>
    <t>HOVER_BLDC-001</t>
  </si>
  <si>
    <t>HOVER_BLDC</t>
  </si>
  <si>
    <t>product_link_hover_bldc</t>
  </si>
  <si>
    <t>HOVER_BLDC-002</t>
  </si>
  <si>
    <t>mass_hover_bldc_per_rotor</t>
  </si>
  <si>
    <t>0.06737069022613869</t>
  </si>
  <si>
    <t>HOVER_BLDC-003</t>
  </si>
  <si>
    <t>eta_elec_hover_bldc</t>
  </si>
  <si>
    <t>HOVER_BLDC-004</t>
  </si>
  <si>
    <t>rho_motor_hover_bldc</t>
  </si>
  <si>
    <t>3000.0</t>
  </si>
  <si>
    <t>HOVER_BLDC-005</t>
  </si>
  <si>
    <t>P_motor_hover_bldc</t>
  </si>
  <si>
    <t>202.11207067841605</t>
  </si>
  <si>
    <t>HOVER_BLDC-006</t>
  </si>
  <si>
    <t>cost_hover_bldc</t>
  </si>
  <si>
    <t>CRUISE_BLDC-001</t>
  </si>
  <si>
    <t>CRUISE_BLDC</t>
  </si>
  <si>
    <t>product_link_cruise_bldc</t>
  </si>
  <si>
    <t>CRUISE_BLDC-002</t>
  </si>
  <si>
    <t>mass_cruise_bldc_per_rotor</t>
  </si>
  <si>
    <t>0.017707193804283605</t>
  </si>
  <si>
    <t>CRUISE_BLDC-003</t>
  </si>
  <si>
    <t>eta_elec_cruise_bldc</t>
  </si>
  <si>
    <t>CRUISE_BLDC-004</t>
  </si>
  <si>
    <t>rho_motor_cruise_bldc</t>
  </si>
  <si>
    <t>CRUISE_BLDC-005</t>
  </si>
  <si>
    <t>P_motor_cruise_bldc</t>
  </si>
  <si>
    <t>53.121581412850816</t>
  </si>
  <si>
    <t>CRUISE_BLDC-006</t>
  </si>
  <si>
    <t>cost_cruise_bldc</t>
  </si>
  <si>
    <t>HOVER_PROPELLER-001</t>
  </si>
  <si>
    <t>HOVER_PROPELLER</t>
  </si>
  <si>
    <t>num_rotors_hover_propeller</t>
  </si>
  <si>
    <t>4</t>
  </si>
  <si>
    <t>HOVER_PROPELLER-002</t>
  </si>
  <si>
    <t>radius_hover_propeller</t>
  </si>
  <si>
    <t>0.08889835715887848</t>
  </si>
  <si>
    <t>HOVER_PROPELLER-003</t>
  </si>
  <si>
    <t>radius_hover_propeller_bounds</t>
  </si>
  <si>
    <t>[0.0254, 0.0889]</t>
  </si>
  <si>
    <t>HOVER_PROPELLER-004</t>
  </si>
  <si>
    <t>eta_prop_hover_propeller</t>
  </si>
  <si>
    <t>HOVER_PROPELLER-005</t>
  </si>
  <si>
    <t>mass_hover_propeller</t>
  </si>
  <si>
    <t>HOVER_PROPELLER-006</t>
  </si>
  <si>
    <t>product_link_hover_propeller</t>
  </si>
  <si>
    <t>HOVER_PROPELLER-007</t>
  </si>
  <si>
    <t>cost_hover_propeller</t>
  </si>
  <si>
    <t>CRUISE_PROPELLER-001</t>
  </si>
  <si>
    <t>CRUISE_PROPELLER</t>
  </si>
  <si>
    <t>num_rotors_cruise_propeller</t>
  </si>
  <si>
    <t>CRUISE_PROPELLER-002</t>
  </si>
  <si>
    <t>radius_cruise_propeller</t>
  </si>
  <si>
    <t>0.06310198895757299</t>
  </si>
  <si>
    <t>CRUISE_PROPELLER-003</t>
  </si>
  <si>
    <t>radius_cruise_propeller_bounds</t>
  </si>
  <si>
    <t>[0.0254, 0.1143]</t>
  </si>
  <si>
    <t>CRUISE_PROPELLER-004</t>
  </si>
  <si>
    <t>eta_prop_cruise_propeller</t>
  </si>
  <si>
    <t>CRUISE_PROPELLER-005</t>
  </si>
  <si>
    <t>cruise_propeller_num_blades</t>
  </si>
  <si>
    <t>2</t>
  </si>
  <si>
    <t>CRUISE_PROPELLER-006</t>
  </si>
  <si>
    <t>cruise_propeller_z_loc</t>
  </si>
  <si>
    <t>CRUISE_PROPELLER-007</t>
  </si>
  <si>
    <t>cruise_propeller_x_rot</t>
  </si>
  <si>
    <t>CRUISE_PROPELLER-008</t>
  </si>
  <si>
    <t>cruise_propeller_y_rot</t>
  </si>
  <si>
    <t>CRUISE_PROPELLER-009</t>
  </si>
  <si>
    <t>cruise_propeller_z_rot</t>
  </si>
  <si>
    <t>CRUISE_PROPELLER-010</t>
  </si>
  <si>
    <t>cruise_propeller_offset</t>
  </si>
  <si>
    <t>0.04</t>
  </si>
  <si>
    <t>CRUISE_PROPELLER-011</t>
  </si>
  <si>
    <t>mass_cruise_propeller</t>
  </si>
  <si>
    <t>CRUISE_PROPELLER-012</t>
  </si>
  <si>
    <t>product_link_cruise_propeller</t>
  </si>
  <si>
    <t>CRUISE_PROPELLER-013</t>
  </si>
  <si>
    <t>cost_cruise_propeller</t>
  </si>
  <si>
    <t>FRONT_RIGHT_PROPELLER-001</t>
  </si>
  <si>
    <t>FRONT_RIGHT_PROPELLER</t>
  </si>
  <si>
    <t>fr_propeller_num_blades</t>
  </si>
  <si>
    <t>FRONT_RIGHT_PROPELLER-002</t>
  </si>
  <si>
    <t>fr_propeller_z_loc</t>
  </si>
  <si>
    <t>FRONT_RIGHT_PROPELLER-003</t>
  </si>
  <si>
    <t>fr_propeller_x_rot</t>
  </si>
  <si>
    <t>45</t>
  </si>
  <si>
    <t>FRONT_RIGHT_PROPELLER-004</t>
  </si>
  <si>
    <t>fr_propeller_y_rot</t>
  </si>
  <si>
    <t>FRONT_RIGHT_PROPELLER-005</t>
  </si>
  <si>
    <t>fr_propeller_z_rot</t>
  </si>
  <si>
    <t>90</t>
  </si>
  <si>
    <t>FRONT_RIGHT_PROPELLER-006</t>
  </si>
  <si>
    <t>fr_propeller_x_loc</t>
  </si>
  <si>
    <t>FRONT_RIGHT_PROPELLER-007</t>
  </si>
  <si>
    <t>fr_propeller_y_loc</t>
  </si>
  <si>
    <t>FRONT_LEFT_PROPELLER-001</t>
  </si>
  <si>
    <t>FRONT_LEFT_PROPELLER</t>
  </si>
  <si>
    <t>fl_propeller_num_blades</t>
  </si>
  <si>
    <t>FRONT_LEFT_PROPELLER-002</t>
  </si>
  <si>
    <t>fl_propeller_z_loc</t>
  </si>
  <si>
    <t>FRONT_LEFT_PROPELLER-003</t>
  </si>
  <si>
    <t>fl_propeller_x_rot</t>
  </si>
  <si>
    <t>FRONT_LEFT_PROPELLER-004</t>
  </si>
  <si>
    <t>fl_propeller_y_rot</t>
  </si>
  <si>
    <t>FRONT_LEFT_PROPELLER-005</t>
  </si>
  <si>
    <t>fl_propeller_z_rot</t>
  </si>
  <si>
    <t>FRONT_LEFT_PROPELLER-006</t>
  </si>
  <si>
    <t>fl_propeller_x_loc</t>
  </si>
  <si>
    <t>FRONT_LEFT_PROPELLER-007</t>
  </si>
  <si>
    <t>fl_propeller_y_loc</t>
  </si>
  <si>
    <t>BACK_RIGHT_PROPELLER-001</t>
  </si>
  <si>
    <t>BACK_RIGHT_PROPELLER</t>
  </si>
  <si>
    <t>br_propeller_num_blades</t>
  </si>
  <si>
    <t>BACK_RIGHT_PROPELLER-002</t>
  </si>
  <si>
    <t>br_propeller_z_loc</t>
  </si>
  <si>
    <t>BACK_RIGHT_PROPELLER-003</t>
  </si>
  <si>
    <t>br_propeller_x_rot</t>
  </si>
  <si>
    <t>BACK_RIGHT_PROPELLER-004</t>
  </si>
  <si>
    <t>br_propeller_y_rot</t>
  </si>
  <si>
    <t>BACK_RIGHT_PROPELLER-005</t>
  </si>
  <si>
    <t>br_propeller_z_rot</t>
  </si>
  <si>
    <t>BACK_RIGHT_PROPELLER-006</t>
  </si>
  <si>
    <t>br_propeller_x_loc</t>
  </si>
  <si>
    <t>BACK_RIGHT_PROPELLER-007</t>
  </si>
  <si>
    <t>br_propeller_y_loc</t>
  </si>
  <si>
    <t>BACK_LEFT_PROPELLER-001</t>
  </si>
  <si>
    <t>BACK_LEFT_PROPELLER</t>
  </si>
  <si>
    <t>bl_propeller_num_blades</t>
  </si>
  <si>
    <t>BACK_LEFT_PROPELLER-002</t>
  </si>
  <si>
    <t>bl_propeller_z_loc</t>
  </si>
  <si>
    <t>BACK_LEFT_PROPELLER-003</t>
  </si>
  <si>
    <t>bl_propeller_x_rot</t>
  </si>
  <si>
    <t>BACK_LEFT_PROPELLER-004</t>
  </si>
  <si>
    <t>bl_propeller_y_rot</t>
  </si>
  <si>
    <t>BACK_LEFT_PROPELLER-005</t>
  </si>
  <si>
    <t>bl_propeller_z_rot</t>
  </si>
  <si>
    <t>BACK_LEFT_PROPELLER-006</t>
  </si>
  <si>
    <t>bl_propeller_x_loc</t>
  </si>
  <si>
    <t>BACK_LEFT_PROPELLER-007</t>
  </si>
  <si>
    <t>bl_propeller_y_loc</t>
  </si>
  <si>
    <t>PAYLOAD-001</t>
  </si>
  <si>
    <t>PAYLOAD</t>
  </si>
  <si>
    <t>mass_payload</t>
  </si>
  <si>
    <t>PAYLOAD-002</t>
  </si>
  <si>
    <t>max_length_payload</t>
  </si>
  <si>
    <t>PAYLOAD-003</t>
  </si>
  <si>
    <t>max_heigth_payload</t>
  </si>
  <si>
    <t>PAYLOAD-004</t>
  </si>
  <si>
    <t>max_width_payload</t>
  </si>
  <si>
    <t>PAYLOAD-005</t>
  </si>
  <si>
    <t>cost_payload</t>
  </si>
  <si>
    <t>PAYLOAD-006</t>
  </si>
  <si>
    <t>product_link_payload</t>
  </si>
  <si>
    <t>SIYI ZT6</t>
  </si>
  <si>
    <t>FLIGHT_CONTROLLER-001</t>
  </si>
  <si>
    <t>FLIGHT_CONTROLLER</t>
  </si>
  <si>
    <t>mass_flight_controller</t>
  </si>
  <si>
    <t>0.073</t>
  </si>
  <si>
    <t>FLIGHT_CONTROLLER-002</t>
  </si>
  <si>
    <t>max_length_flight_controller</t>
  </si>
  <si>
    <t>FLIGHT_CONTROLLER-003</t>
  </si>
  <si>
    <t>max_heigth_flight_controller</t>
  </si>
  <si>
    <t>FLIGHT_CONTROLLER-004</t>
  </si>
  <si>
    <t>max_width_flight_controller</t>
  </si>
  <si>
    <t>FLIGHT_CONTROLLER-005</t>
  </si>
  <si>
    <t>cost_flight_controller</t>
  </si>
  <si>
    <t>FLIGHT_CONTROLLER-006</t>
  </si>
  <si>
    <t>product_link_flight_controller</t>
  </si>
  <si>
    <t>Pixhawk Cube Orange+ Standard Set</t>
  </si>
  <si>
    <t>FLIGHT_COMPUTER-001</t>
  </si>
  <si>
    <t>FLIGHT_COMPUTER</t>
  </si>
  <si>
    <t>mass_flight_computer</t>
  </si>
  <si>
    <t>0.08</t>
  </si>
  <si>
    <t>FLIGHT_COMPUTER-002</t>
  </si>
  <si>
    <t>max_length_flight_computer</t>
  </si>
  <si>
    <t>FLIGHT_COMPUTER-003</t>
  </si>
  <si>
    <t>max_height_flight_computer</t>
  </si>
  <si>
    <t>FLIGHT_COMPUTER-004</t>
  </si>
  <si>
    <t>max_width_flight_computer</t>
  </si>
  <si>
    <t>FLIGHT_COMPUTER-005</t>
  </si>
  <si>
    <t>cost_flight_computer</t>
  </si>
  <si>
    <t>FLIGHT_COMPUTER-006</t>
  </si>
  <si>
    <t>product_link_flight_computer</t>
  </si>
  <si>
    <t>Raspberry Pi5</t>
  </si>
  <si>
    <t>TELEMETRY-001</t>
  </si>
  <si>
    <t>TELEMETRY</t>
  </si>
  <si>
    <t>mass_telemetry</t>
  </si>
  <si>
    <t>TELEMETRY-002</t>
  </si>
  <si>
    <t>max_length_telemetry</t>
  </si>
  <si>
    <t>TELEMETRY-003</t>
  </si>
  <si>
    <t>max_height_telemetry</t>
  </si>
  <si>
    <t>TELEMETRY-004</t>
  </si>
  <si>
    <t>max_width_telemetry</t>
  </si>
  <si>
    <t>TELEMETRY-005</t>
  </si>
  <si>
    <t>cost_telemetry</t>
  </si>
  <si>
    <t>TELEMETRY-006</t>
  </si>
  <si>
    <t>product_link_telemetry</t>
  </si>
  <si>
    <t>Pixhawk Rf Design RFD900x</t>
  </si>
  <si>
    <t>RECEIVER-001</t>
  </si>
  <si>
    <t>RECEIVER</t>
  </si>
  <si>
    <t>mass_rc_receiver</t>
  </si>
  <si>
    <t>RECEIVER-002</t>
  </si>
  <si>
    <t>max_length_rc_receiver</t>
  </si>
  <si>
    <t>RECEIVER-003</t>
  </si>
  <si>
    <t>max_height_rc_receiver</t>
  </si>
  <si>
    <t>RECEIVER-004</t>
  </si>
  <si>
    <t>max_width_rc_receiver</t>
  </si>
  <si>
    <t>RECEIVER-005</t>
  </si>
  <si>
    <t>cost_rc_receiver</t>
  </si>
  <si>
    <t>RECEIVER-006</t>
  </si>
  <si>
    <t>product_link_rc_receiver</t>
  </si>
  <si>
    <t>RadioMaster RP1 V2 ELRS</t>
  </si>
  <si>
    <t>CRUISE_ESC-001</t>
  </si>
  <si>
    <t>CRUISE_ESC</t>
  </si>
  <si>
    <t>mass_cruise_esc</t>
  </si>
  <si>
    <t>CRUISE_ESC-002</t>
  </si>
  <si>
    <t>max_length_cruise_esc</t>
  </si>
  <si>
    <t>CRUISE_ESC-003</t>
  </si>
  <si>
    <t>max_height_cruise_esc</t>
  </si>
  <si>
    <t>CRUISE_ESC-004</t>
  </si>
  <si>
    <t>max_width_cruise_esc</t>
  </si>
  <si>
    <t>CRUISE_ESC-005</t>
  </si>
  <si>
    <t>cost_cruise_esc</t>
  </si>
  <si>
    <t>CRUISE_ESC-006</t>
  </si>
  <si>
    <t>product_link_cruise_esc</t>
  </si>
  <si>
    <t>Pluto 50A ESC BLHeli</t>
  </si>
  <si>
    <t>HOVER_ESC-001</t>
  </si>
  <si>
    <t>HOVER_ESC</t>
  </si>
  <si>
    <t>mass_hover_esc</t>
  </si>
  <si>
    <t>HOVER_ESC-002</t>
  </si>
  <si>
    <t>max_length_hover_esc</t>
  </si>
  <si>
    <t>HOVER_ESC-003</t>
  </si>
  <si>
    <t>max_height_hover_esc</t>
  </si>
  <si>
    <t>HOVER_ESC-004</t>
  </si>
  <si>
    <t>max_width_hover_esc</t>
  </si>
  <si>
    <t>HOVER_ESC-005</t>
  </si>
  <si>
    <t>cost_hover_esc</t>
  </si>
  <si>
    <t>HOVER_ESC-006</t>
  </si>
  <si>
    <t>product_link_hover_esc</t>
  </si>
  <si>
    <t>GEPRC BLS60A 4in1 ESC</t>
  </si>
  <si>
    <t>AIRSPEED_SENSOR-001</t>
  </si>
  <si>
    <t>AIRSPEED_SENSOR</t>
  </si>
  <si>
    <t>mass_airspeed_sensor</t>
  </si>
  <si>
    <t>AIRSPEED_SENSOR-002</t>
  </si>
  <si>
    <t>max_length_airspeed_sensor</t>
  </si>
  <si>
    <t>AIRSPEED_SENSOR-003</t>
  </si>
  <si>
    <t>max_heigth_airspeed_sensor</t>
  </si>
  <si>
    <t>AIRSPEED_SENSOR-004</t>
  </si>
  <si>
    <t>max_width_airspeed_sensor</t>
  </si>
  <si>
    <t>AIRSPEED_SENSOR-005</t>
  </si>
  <si>
    <t>cost_airspeed_sensor</t>
  </si>
  <si>
    <t>AIRSPEED_SENSOR-006</t>
  </si>
  <si>
    <t>product_link_airspeed_sensor</t>
  </si>
  <si>
    <t>PX4 Differential Airpseed Sensor Kit</t>
  </si>
  <si>
    <t>PDB-001</t>
  </si>
  <si>
    <t>PDB</t>
  </si>
  <si>
    <t>mass_pdb</t>
  </si>
  <si>
    <t>PDB-002</t>
  </si>
  <si>
    <t>max_length_pdb</t>
  </si>
  <si>
    <t>PDB-003</t>
  </si>
  <si>
    <t>max_height_pdb</t>
  </si>
  <si>
    <t>PDB-004</t>
  </si>
  <si>
    <t>max_width_pdb</t>
  </si>
  <si>
    <t>PDB-005</t>
  </si>
  <si>
    <t>cost_pdb</t>
  </si>
  <si>
    <t>PDB-006</t>
  </si>
  <si>
    <t>product_link_pdb</t>
  </si>
  <si>
    <t>SmartAP PDB</t>
  </si>
  <si>
    <t>POWER_MODULE-001</t>
  </si>
  <si>
    <t>POWER_MODULE</t>
  </si>
  <si>
    <t>mass_power_module</t>
  </si>
  <si>
    <t>POWER_MODULE-002</t>
  </si>
  <si>
    <t>max_length_power_module</t>
  </si>
  <si>
    <t>POWER_MODULE-003</t>
  </si>
  <si>
    <t>max_height_power_module</t>
  </si>
  <si>
    <t>POWER_MODULE-004</t>
  </si>
  <si>
    <t>max_width_power_module</t>
  </si>
  <si>
    <t>POWER_MODULE-005</t>
  </si>
  <si>
    <t>cost_power_module</t>
  </si>
  <si>
    <t>POWER_MODULE-006</t>
  </si>
  <si>
    <t>product_link_power_module</t>
  </si>
  <si>
    <t>PM02 Power Module</t>
  </si>
  <si>
    <t>LTE_MODEM-001</t>
  </si>
  <si>
    <t>LTE_MODEM</t>
  </si>
  <si>
    <t>mass_lte_modem</t>
  </si>
  <si>
    <t>LTE_MODEM-002</t>
  </si>
  <si>
    <t>max_length_lte_modem</t>
  </si>
  <si>
    <t>LTE_MODEM-003</t>
  </si>
  <si>
    <t>max_height_lte_modem</t>
  </si>
  <si>
    <t>LTE_MODEM-004</t>
  </si>
  <si>
    <t>max_width_lte_modem</t>
  </si>
  <si>
    <t>LTE_MODEM-005</t>
  </si>
  <si>
    <t>cost_lte_modem</t>
  </si>
  <si>
    <t>LTE_MODEM-006</t>
  </si>
  <si>
    <t>product_link_lte_modem</t>
  </si>
  <si>
    <t>Sixfab 5G Modem Kit for Raspberry Pi 5</t>
  </si>
  <si>
    <t>GPS-001</t>
  </si>
  <si>
    <t>GPS</t>
  </si>
  <si>
    <t>mass_gps</t>
  </si>
  <si>
    <t>GPS-002</t>
  </si>
  <si>
    <t>max_length_gps</t>
  </si>
  <si>
    <t>GPS-003</t>
  </si>
  <si>
    <t>max_height_gps</t>
  </si>
  <si>
    <t>GPS-004</t>
  </si>
  <si>
    <t>max_width_gps</t>
  </si>
  <si>
    <t>GPS-005</t>
  </si>
  <si>
    <t>cost_gps</t>
  </si>
  <si>
    <t>GPS-006</t>
  </si>
  <si>
    <t>product_link_gps</t>
  </si>
  <si>
    <t>Here3 GPS</t>
  </si>
  <si>
    <t>SERVO-001</t>
  </si>
  <si>
    <t>SERVO</t>
  </si>
  <si>
    <t>mass_servo</t>
  </si>
  <si>
    <t>SERVO-002</t>
  </si>
  <si>
    <t>num_servo</t>
  </si>
  <si>
    <t>SERVO-003</t>
  </si>
  <si>
    <t>mass_servos</t>
  </si>
  <si>
    <t>0.06</t>
  </si>
  <si>
    <t>SERVO-004</t>
  </si>
  <si>
    <t>cost_servo</t>
  </si>
  <si>
    <t>SERVO-005</t>
  </si>
  <si>
    <t>product_link_servo</t>
  </si>
  <si>
    <t>EMAX ES08MA</t>
  </si>
  <si>
    <t>AUXILLIARY-001</t>
  </si>
  <si>
    <t>AUXILLIARY</t>
  </si>
  <si>
    <t>mass_auxilliary</t>
  </si>
  <si>
    <t>STRUCTURES-001</t>
  </si>
  <si>
    <t>STRUCTURES</t>
  </si>
  <si>
    <t>mass_structures_factor</t>
  </si>
  <si>
    <t>0.35</t>
  </si>
  <si>
    <t>STRUCTURES-002</t>
  </si>
  <si>
    <t>mass_structures</t>
  </si>
  <si>
    <t>0.7617013252571702</t>
  </si>
  <si>
    <t>CONFIGURATION-001</t>
  </si>
  <si>
    <t>CONFIGURATION</t>
  </si>
  <si>
    <t>cg_xyz</t>
  </si>
  <si>
    <t>[0.039456810943613724, 0.0, 0.0]</t>
  </si>
  <si>
    <t>CONFIGURATION-002</t>
  </si>
  <si>
    <t>wings</t>
  </si>
  <si>
    <t>[{"name": "Main_Wing", "S": 0.1537173920527291, "AR": 7.999979107740558, "taper": 0.8, "sweep_deg": 1.0, "x": 0.0, "y": 0.0, "z": 0.0, "x_rot": 0.0, "y_rot": 2.0, "z_rot": 0.0, "root_ThickChord": 0.09, "root_Camber": 0.06, "root_CamberLoc": 0.4, "tip_ThickChord": 0.09, "tip_Camber": 0.06, "tip_CamberLoc": 0.4, "ctrl_hinge": 0.25, "ctrl_start": 0.6, "ctrl_end": 0.9}, {"name": "H_Stab", "S": 0.013122056070925038, "AR": 8.0, "taper": 1.0, "sweep_deg": 0.0, "x": 0.35164424539739125, "y": 0, "z": 0.19067481923338375, "x_rot": 0.0, "y_rot": 0.0, "z_rot": 0.0, "root_ThickChord": 0.09, "root_Camber": 0.06, "root_CamberLoc": 0.4, "tip_ThickChord": 0.09, "tip_Camber": 0.06, "tip_CamberLoc": 0.4, "ctrl_hinge": 0.3, "ctrl_start": 0.0, "ctrl_end": 0.7}, {"name": "V_Stab", "S": 0.014542754675873428, "AR": 5.0, "taper": 1.0, "sweep_deg": 0.0, "x": 0.35164424539739125, "y": 0.16200034611645148, "z": 0.0, "x_rot": 90.0, "y_rot": 0.0, "z_rot": 0.0, "root_ThickChord": 0.12, "root_Camber": 0.0, "root_CamberLoc": 0.0, "tip_ThickChord": 0.12, "tip_Camber": 0.0, "tip_CamberLoc": 0.0, "ctrl_hinge": 0.3, "ctrl_start": 0.1, "ctrl_end": 0.9}]</t>
  </si>
  <si>
    <t>CONFIGURATION-003</t>
  </si>
  <si>
    <t>fuselages</t>
  </si>
  <si>
    <t>[{"name": "main_fuselage", "length": 0.7, "fuselage_XLoc": -0.2087814402720411, "fuselage_YLoc": 0.0, "fuselage_ZLoc": -0.05, "XSec_0_XLoc": 0.0, "XSec_1_XLoc": 0.13636363636363635, "XSec_2_XLoc": 0.8636363636363636, "XSec_3_XLoc": 1.0, "XSec_0_ZLoc": 0.0, "XSec_1_ZLoc": 0.0, "XSec_2_ZLoc": 0.0, "XSec_3_ZLoc": 0.0, "XSec_0_w": 0.06999999999999999, "XSec_1_w": 0.1, "XSec_2_w": 0.1, "XSec_3_w": 0.04000000000000001, "XSec_0_h": 0.06999999999999999, "XSec_1_h": 0.1, "XSec_2_h": 0.1, "XSec_3_h": 0.04000000000000001}, {"name": "right_motor_boom", "length": 0.5917464394420301, "fuselage_XLoc": -0.17383226635128532, "fuselage_YLoc": 0.16200034611645148, "fuselage_ZLoc": 0.0, "XSec_0_XLoc": 0.0, "XSec_1_XLoc": 0.5, "XSec_2_XLoc": 1.0, "XSec_0_ZLoc": 0.0, "XSec_1_ZLoc": 0.0, "XSec_2_ZLoc": 0.0, "XSec_0_w": 0.010000000000000002, "XSec_1_w": 0.010000000000000002, "XSec_2_w": 0.010000000000000002, "XSec_0_h": 0.010000000000000002, "XSec_1_h": 0.010000000000000002, "XSec_2_h": 0.010000000000000002, "RightLAngle": 0.0, "TopLAngle": 0.0, "RightLStrength": 1.0, "TopLStrength": 1.0}, {"name": "left_motor_boom", "length": 0.5917464394420301, "fuselage_XLoc": -0.17383226635128532, "fuselage_YLoc": -0.16200034611645148, "fuselage_ZLoc": 0.0, "XSec_0_XLoc": 0.0, "XSec_1_XLoc": 0.5, "XSec_2_XLoc": 1.0, "XSec_0_ZLoc": 0.0, "XSec_1_ZLoc": 0.0, "XSec_2_ZLoc": 0.0, "XSec_0_w": 0.010000000000000002, "XSec_1_w": 0.010000000000000002, "XSec_2_w": 0.010000000000000002, "XSec_0_h": 0.010000000000000002, "XSec_1_h": 0.010000000000000002, "XSec_2_h": 0.010000000000000002, "RightLAngle": 0.0, "TopLAngle": 0.0, "RightLStrength": 1.0, "TopLStrength": 1.0}]</t>
  </si>
  <si>
    <t>CONFIGURATION-004</t>
  </si>
  <si>
    <t>props</t>
  </si>
  <si>
    <t>[{"name": "hover_FR_prop", "diameter": 0.17779671431775695, "num_blades": 2.0, "x": -0.1638322663512853, "y": 0.16200034611645148, "z": 0.04, "x_rot": 45.0, "y_rot": 0.0, "z_rot": 90.0}, {"name": "hover_FL_prop", "diameter": 0.17779671431775695, "num_blades": 2.0, "x": -0.1638322663512853, "y": -0.16200034611645148, "z": 0.04, "x_rot": 45.0, "y_rot": 0.0, "z_rot": 90.0}, {"name": "hover_BR_prop", "diameter": 0.17779671431775695, "num_blades": 2.0, "x": 0.24274588823851276, "y": 0.16200034611645148, "z": 0.04, "x_rot": 45.0, "y_rot": 0.0, "z_rot": 90.0}, {"name": "hover_BL_prop", "diameter": 0.17779671431775695, "num_blades": 2.0, "x": 0.24274588823851276, "y": -0.16200034611645148, "z": 0.04, "x_rot": 45.0, "y_rot": 0.0, "z_rot": 90.0}, {"name": "cruise_prop", "diameter": 0.12620397791514598, "num_blades": 2.0, "x": 0.5312185597279588, "y": 0, "z": -0.05, "x_rot": 0.0, "y_rot": 0.0, "z_rot": 0.0}]</t>
  </si>
  <si>
    <t>OPENVSP-001</t>
  </si>
  <si>
    <t>OPENVSP</t>
  </si>
  <si>
    <t>vsp3_path</t>
  </si>
  <si>
    <t>vsp_runs\run_001\autotwin_aircraft.vsp3</t>
  </si>
  <si>
    <t>OPENVSP-002</t>
  </si>
  <si>
    <t>geom_ids</t>
  </si>
  <si>
    <t>{"fuselage": ["INAIBVIYEY", "MRAMGXAWTI", "GUZBKCDKAR"], "wing": ["NVWCEGZDOZ", "DYKUSAHXOL", "ETUDIECNYH"], "prop": ["TDHFIFQVAF", "EDQRXMHKYT", "KOCCMOZAJH", "SRBQURGPTL", "IBAEDEMAOE"]}</t>
  </si>
  <si>
    <t>OPENVSP-003</t>
  </si>
  <si>
    <t>reference</t>
  </si>
  <si>
    <t>{"Sref": 0.18138220279952758, "Bref": 1.1089345900088956, "Cref": 0.16356438371903664, "cg": [0.039456810943613724, 0.0, 0.0]}</t>
  </si>
  <si>
    <t>OPENVSP-004</t>
  </si>
  <si>
    <t>analysis</t>
  </si>
  <si>
    <t>{"results_id": "ENMFYBO"}</t>
  </si>
  <si>
    <t>OPENVSP-005</t>
  </si>
  <si>
    <t>sweep_outputs</t>
  </si>
  <si>
    <t>{"Alpha": [0.0], "CL": [0.622837482514], "CD": [0.026924158762], "Cm": [-0.152904995813]}</t>
  </si>
  <si>
    <t>OPENVSP-006</t>
  </si>
  <si>
    <t>notes</t>
  </si>
  <si>
    <t>["INFO: VSPAERO sweep uses wing geometry only; fuselages/props are hidden from the analysis set."]</t>
  </si>
  <si>
    <t>OPENVSP-007</t>
  </si>
  <si>
    <t>debug</t>
  </si>
  <si>
    <t>{"fuselage_xsec_parms": []}</t>
  </si>
  <si>
    <t>OPENVSP-008</t>
  </si>
  <si>
    <t>alpha_list_deg</t>
  </si>
  <si>
    <t>OPTIMIZATION-001</t>
  </si>
  <si>
    <t>OPTIMIZATION</t>
  </si>
  <si>
    <t>pop_size</t>
  </si>
  <si>
    <t>200</t>
  </si>
  <si>
    <t>OPTIMIZATION-002</t>
  </si>
  <si>
    <t>n_gen</t>
  </si>
  <si>
    <t>OPTIMIZATION-003</t>
  </si>
  <si>
    <t>seed</t>
  </si>
  <si>
    <t>OPTIMIZATION-004</t>
  </si>
  <si>
    <t>verbose</t>
  </si>
  <si>
    <t>True</t>
  </si>
  <si>
    <t>OPTIMIZATION-005</t>
  </si>
  <si>
    <t>plot_pareto</t>
  </si>
  <si>
    <t>OPTIMIZATION-006</t>
  </si>
  <si>
    <t>pareto_plot_block</t>
  </si>
  <si>
    <t>OPTIMIZATION-007</t>
  </si>
  <si>
    <t>status</t>
  </si>
  <si>
    <t>ok</t>
  </si>
  <si>
    <t>OPTIMIZATION-008</t>
  </si>
  <si>
    <t>best_idx</t>
  </si>
  <si>
    <t>OPTIMIZATION-009</t>
  </si>
  <si>
    <t>best_objectives</t>
  </si>
  <si>
    <t>{"energy_stored_onboard_Wh": 98.58409245156757, "t_trip_h": 1.1902737984964222}</t>
  </si>
  <si>
    <t>OPTIMIZATION-010</t>
  </si>
  <si>
    <t>max_constraint_violation</t>
  </si>
  <si>
    <t>OPTIMIZATION-011</t>
  </si>
  <si>
    <t>pareto_set_size</t>
  </si>
  <si>
    <t>OPTIMIZATION-012</t>
  </si>
  <si>
    <t>pareto_X</t>
  </si>
  <si>
    <t>[[ 2.41665482  0.17416154 20.         ...  7.99276433  0.06683796
   0.08889675]
 [ 2.1762895   0.15371739 19.99999948 ...  7.99997911  0.06310199
   0.08889836]
 [ 2.41665482  0.17416154 20.         ...  7.99276433  0.0626495
   0.08889675]
 ...
 [ 2.34776874  0.16552157 19.999991   ...  7.99999301  0.08877767
   0.08889898]
 [ 2.36984851  0.16703396 19.99999999 ...  7.9997835   0.06369009
   0.08889512]
 [ 2.18231987  0.15371739 19.99999893 ...  7.99997926  0.0721307
   0.08889715]]</t>
  </si>
  <si>
    <t>OPTIMIZATION-013</t>
  </si>
  <si>
    <t>pareto_F</t>
  </si>
  <si>
    <t>[[112.4115005    1.18417641]
 [ 98.58409245   1.1902738 ]
 [112.4115005    1.18417641]
 [110.17956069   1.18417641]
 [104.89695756   1.18550623]
 [ 98.85518131   1.18990629]
 [ 98.86817228   1.18933728]
 [ 98.75653501   1.19024186]
 [ 99.24641805   1.18918174]
 [ 99.3726954    1.18879879]
 [104.10559159   1.18556873]
 [106.68614204   1.18496624]
 [105.85478654   1.18496948]
 [ 98.84336526   1.18990654]
 [102.17977507   1.18661183]
 [108.74186139   1.18444363]
 [102.22431515   1.18638739]
 [102.4080719    1.18627122]
 [108.09832347   1.18448608]
 [100.58676215   1.18753928]
 [102.70954028   1.18626748]
 [101.56417882   1.1867301 ]
 [103.32931115   1.1859046 ]
 [ 98.86979331   1.18933724]
 [ 99.20157672   1.18921143]
 [100.79700326   1.18741966]
 [101.72584646   1.18666178]
 [104.90873404   1.18533325]
 [106.84523699   1.18489121]
 [102.19755684   1.18651779]
 [101.26912212   1.18715541]
 [109.62020507   1.18417641]
 [110.14501216   1.18417641]
 [ 99.83059624   1.18819025]
 [100.18746693   1.18782763]
 [109.2976611    1.18430046]
 [100.25469372   1.1875991 ]
 [103.0252383    1.18597447]
 [101.55865092   1.18693257]
 [ 99.44308729   1.18857835]
 [107.21606466   1.18478206]
 [101.48608186   1.18696076]
 [ 99.41252518   1.18873852]
 [107.72800063   1.18453621]
 [101.04667749   1.18737817]
 [108.96948016   1.18432078]
 [101.09029797   1.18724891]
 [ 99.98888323   1.18809861]
 [102.77946847   1.18613805]
 [101.30098385   1.18703458]
 [107.60320894   1.18463227]
 [107.83134414   1.18453375]
 [100.22154475   1.18769272]
 [106.74926392   1.18496548]
 [103.96083117   1.18563974]
 [107.01675773   1.18483641]
 [103.01827037   1.1860396 ]
 [ 99.68009883   1.1882847 ]
 [107.22047119   1.18473366]
 [105.17237559   1.18526057]
 [107.01660857   1.18483811]
 [100.02839567   1.18807503]
 [109.40718627   1.18421337]
 [100.13612737   1.187893  ]
 [ 99.62434699   1.18840202]
 [107.40211076   1.18473213]
 [103.66114541   1.18579187]
 [105.06312972   1.18533074]
 [100.79394761   1.18752684]
 [100.08696046   1.18798491]
 [108.82353121   1.18438204]
 [100.08837588   1.18797608]
 [105.45375848   1.18514465]
 [101.27163071   1.18708662]
 [108.96796151   1.18433439]
 [103.75017139   1.18570226]
 [105.44755147   1.1851899 ]
 [100.25462114   1.18760167]
 [103.7595653    1.18565506]
 [ 99.62116689   1.18850635]
 [108.06703216   1.18450211]
 [100.22155206   1.18769255]
 [100.79374807   1.18753632]
 [103.50979684   1.185821  ]
 [ 99.80334666   1.18826628]
 [ 99.50201564   1.18857808]
 [103.73080439   1.18575781]
 [105.65776299   1.18505589]
 [ 99.80481315   1.18824415]
 [105.6666159    1.18505355]
 [109.30277027   1.18425354]
 [105.51300669   1.18507533]
 [105.77735541   1.18502156]
 [105.85122518   1.18498038]
 [103.40059441   1.18586136]
 [101.70683095   1.18671237]
 [103.40933283   1.18585619]
 [105.22768697   1.18521202]
 [ 99.67777092   1.18834722]
 [107.40548541   1.18469579]
 [105.77744429   1.18501849]
 [ 99.40423439   1.1887453 ]
 [105.06252186   1.18533124]
 [102.95806311   1.18608295]
 [100.17582742   1.18788913]
 [101.05307782   1.1873533 ]
 [ 99.51543074   1.18851528]
 [103.02515687   1.18597597]
 [ 99.38825602   1.18879879]
 [105.5015091    1.18510136]
 [105.33556729   1.18520268]
 [105.21604231   1.18524355]
 [109.49748202   1.18420619]
 [101.71087037   1.18670805]
 [108.81225268   1.18441523]
 [104.03827954   1.1856213 ]
 [109.61499221   1.18420532]
 [ 99.61930071   1.18850679]
 [105.29661326   1.1852027 ]
 [ 99.51569845   1.18851527]
 [104.02849032   1.18562867]
 [107.46452797   1.18467936]
 [101.27821546   1.18704717]
 [ 99.66260651   1.18840202]
 [104.05297571   1.185583  ]
 [109.30055758   1.18425355]
 [107.51552205   1.18465406]
 [ 99.2186609    1.1891973 ]
 [ 99.66842268   1.18837157]
 [103.50972417   1.18582479]
 [107.78875568   1.18453375]
 [103.7553994    1.18565788]
 [109.49687063   1.18421323]
 [101.72471273   1.18666179]
 [101.05556744   1.18731262]
 [108.78302174   1.1844341 ]
 [107.46217955   1.18468266]
 [101.08965325   1.18726548]
 [102.91009455   1.18609957]
 [107.60077526   1.18463553]
 [103.72892563   1.18578476]
 [101.55336899   1.18695558]
 [107.52726364   1.18464055]
 [102.95434668   1.18608545]
 [104.06293838   1.18558291]
 [105.17838579   1.18525105]
 [102.90457654   1.18610535]
 [101.07179095   1.18731002]
 [102.84278247   1.18613563]
 [104.10558098   1.18556875]
 [108.06703216   1.18450211]
 [103.50972417   1.18582479]
 [102.90083065   1.18612999]
 [105.50775811   1.18507599]
 [ 99.98944996   1.18809163]
 [ 99.67361872   1.18835794]
 [105.50152219   1.18510086]
 [102.77959022   1.18613567]
 [102.83764843   1.18613563]
 [101.08885875   1.18729065]
 [108.07116626   1.18450037]
 [102.90108573   1.18612997]
 [108.09832297   1.18448609]
 [101.08886002   1.18729061]
 [101.55542633   1.1869503 ]
 [108.81299534   1.18439079]
 [103.71376071   1.18579171]
 [100.01951367   1.18808364]
 [ 99.20258551   1.18921143]
 [100.16933476   1.18788917]
 [101.27987846   1.1870394 ]
 [109.61912156   1.18419341]
 [101.55774242   1.18693257]
 [109.61965532   1.18418387]
 [107.52014675   1.1846406 ]
 [105.33124822   1.1852027 ]
 [101.09027562   1.18724935]
 [107.51645287   1.18465318]
 [108.77336001   1.18444361]
 [110.14501216   1.18417641]
 [110.17956069   1.18417641]
 [108.96797837   1.18433395]
 [101.29848531   1.18703474]
 [108.77490009   1.18444282]
 [109.61798409   1.18420296]
 [103.71376167   1.18579169]
 [108.81505111   1.18438265]
 [100.01951367   1.18808364]
 [101.06228118   1.18731259]
 [100.08721077   1.18798472]
 [108.81330841   1.18439078]
 [103.40848895   1.18585823]
 [101.72471273   1.18666179]
 [101.70816627   1.18671237]
 [ 98.86817228   1.18933728]
 [103.75599227   1.1856572 ]
 [102.95805878   1.18608307]
 [108.06998698   1.18450037]
 [109.30254544   1.18425354]
 [ 98.86864433   1.18933726]]</t>
  </si>
  <si>
    <t>OPTIMIZATION-014</t>
  </si>
  <si>
    <t>pareto_plot_path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</si>
</sst>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6C6A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3" borderId="0" xfId="0" applyFont="1" applyFill="1"/>
    <xf numFmtId="0" fontId="4" fillId="2" borderId="0" xfId="1" applyFill="1" applyAlignment="1">
      <alignment horizontal="center" vertical="center" wrapText="1"/>
    </xf>
    <xf numFmtId="0" fontId="4" fillId="2" borderId="0" xfId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5" borderId="0" xfId="0" applyFont="1" applyFill="1"/>
    <xf numFmtId="0" fontId="0" fillId="5" borderId="0" xfId="0" applyFill="1"/>
    <xf numFmtId="0" fontId="1" fillId="7" borderId="0" xfId="0" applyFont="1" applyFill="1"/>
    <xf numFmtId="0" fontId="0" fillId="7" borderId="0" xfId="0" applyFill="1"/>
    <xf numFmtId="0" fontId="3" fillId="2" borderId="0" xfId="0" applyFont="1" applyFill="1"/>
    <xf numFmtId="0" fontId="0" fillId="6" borderId="0" xfId="0" applyFill="1"/>
    <xf numFmtId="0" fontId="3" fillId="0" borderId="0" xfId="0" applyFont="1" applyAlignment="1">
      <alignment wrapText="1"/>
    </xf>
    <xf numFmtId="0" fontId="3" fillId="8" borderId="0" xfId="0" applyFont="1" applyFill="1" applyAlignment="1">
      <alignment horizontal="center"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horizontal="center" wrapText="1"/>
    </xf>
    <xf numFmtId="0" fontId="3" fillId="9" borderId="0" xfId="0" applyFont="1" applyFill="1" applyAlignment="1">
      <alignment wrapText="1"/>
    </xf>
    <xf numFmtId="0" fontId="6" fillId="9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yuncakhobi.com/pixhawk-the-cube-orange-imu-v8-standard-set-otopilot-sistemi-ads-b-carrier-board--distributor-garantili?srsltid=AfmBOoomCRPwd0U-UyWlodMtFPzzRhwXhIJTPLqWq4v1taLF49LvZUGm" TargetMode="External"/><Relationship Id="rId13" Type="http://schemas.openxmlformats.org/officeDocument/2006/relationships/hyperlink" Target="https://www.oyuncakhobi.com/pixhawk-bundle-rfd900x?srsltid=AfmBOoosyTJaFgF41MBGkRxOKt_dkFAn0DoTp0BvoS4GdmltDimVEUgb" TargetMode="External"/><Relationship Id="rId18" Type="http://schemas.openxmlformats.org/officeDocument/2006/relationships/hyperlink" Target="https://www.robocombo.com/geprc-bls60a-4in1-esc-4183?srsltid=AfmBOoq3UZA5uP2a4J-F-cAqulTRskvdMcACNnN2UeIvTz0PV3k8h7sZ" TargetMode="External"/><Relationship Id="rId26" Type="http://schemas.openxmlformats.org/officeDocument/2006/relationships/hyperlink" Target="https://sixfab.com/product/sixfab-5g-modem-kit-for-raspberry-pi-5/?srsltid=AfmBOoo2WjhmxjXD90hv0e38MDjJ5jnuzeVkFl46WoL1XRdu8nR8MO5a" TargetMode="External"/><Relationship Id="rId3" Type="http://schemas.openxmlformats.org/officeDocument/2006/relationships/hyperlink" Target="https://www.motorobit.com/brotherhobby-avenger-2812-1115kv-v3-fircasiz-drone-motoru?gad_source=1&amp;gad_campaignid=23220066671&amp;gbraid=0AAAAADCrc1J1zxLk4yF1LeWMkwcAFyLGu&amp;gclid=CjwKCAjwmozTBhAeEiwAkEGZzuK3Qc5yG8nOYkoIsNGQJCCT7m8lhcHTrRKjy0RB7N6wGdwS-AF0EhoC6_4QAvD_BwE" TargetMode="External"/><Relationship Id="rId21" Type="http://schemas.openxmlformats.org/officeDocument/2006/relationships/hyperlink" Target="https://www.robotistan.com/pixhawk-px4-differential-airspeed-sensor-kit-pitot-tube" TargetMode="External"/><Relationship Id="rId7" Type="http://schemas.openxmlformats.org/officeDocument/2006/relationships/hyperlink" Target="https://shop.siyi.biz/products/zt6-mini-optical-pod-dual-sensors-gimbal-camera" TargetMode="External"/><Relationship Id="rId12" Type="http://schemas.openxmlformats.org/officeDocument/2006/relationships/hyperlink" Target="https://www.oyuncakhobi.com/pixhawk-bundle-rfd900x?srsltid=AfmBOoosyTJaFgF41MBGkRxOKt_dkFAn0DoTp0BvoS4GdmltDimVEUgb" TargetMode="External"/><Relationship Id="rId17" Type="http://schemas.openxmlformats.org/officeDocument/2006/relationships/hyperlink" Target="https://www.robolinkmarket.com/pluto-50a-esc-blheli?srsltid=AfmBOopiHHVAGJKIJ-eEbsvjnL1qb-luPvpR-7TuAw5JUmTp9iOarPB4" TargetMode="External"/><Relationship Id="rId25" Type="http://schemas.openxmlformats.org/officeDocument/2006/relationships/hyperlink" Target="https://holybro.com/products/pm02-v3-12s-power-module?srsltid=AfmBOorWctm2Xgax4VA_VvRQcemo6MNGebUWLBqCEIWHjCAqrf5gCLFU" TargetMode="External"/><Relationship Id="rId2" Type="http://schemas.openxmlformats.org/officeDocument/2006/relationships/hyperlink" Target="https://www.motorobit.com/t-motor-f90-1300kv-28065-uzun-menzilli-fircasiz-drone-motoru?srsltid=AfmBOop7d-6ulHPmb1oE_lKCNGAvr4HVAEBlDi2IBefrO4OepFNjITNq" TargetMode="External"/><Relationship Id="rId16" Type="http://schemas.openxmlformats.org/officeDocument/2006/relationships/hyperlink" Target="https://www.robolinkmarket.com/pluto-50a-esc-blheli?srsltid=AfmBOopiHHVAGJKIJ-eEbsvjnL1qb-luPvpR-7TuAw5JUmTp9iOarPB4" TargetMode="External"/><Relationship Id="rId20" Type="http://schemas.openxmlformats.org/officeDocument/2006/relationships/hyperlink" Target="https://www.robotistan.com/pixhawk-px4-differential-airspeed-sensor-kit-pitot-tube" TargetMode="External"/><Relationship Id="rId29" Type="http://schemas.openxmlformats.org/officeDocument/2006/relationships/hyperlink" Target="https://www.oyuncakhobi.com/pixhawk-here-3-can-gps-/-gnss-with-m8p?srsltid=AfmBOoo0wpw4qrSRepREMbBRX6NRd9AQj4UQBeIpNdC-QjNVGYdDbwXB" TargetMode="External"/><Relationship Id="rId1" Type="http://schemas.openxmlformats.org/officeDocument/2006/relationships/hyperlink" Target="https://www.oyuncakhobi.com/leopard-power-6200-mah-222v-6s-40c-lipo-batarya?srsltid=AfmBOoqZ04UgttQelTFkIKm5XVnm1rt0CV8xcd9OXqbPI7V8FtehCDwN" TargetMode="External"/><Relationship Id="rId6" Type="http://schemas.openxmlformats.org/officeDocument/2006/relationships/hyperlink" Target="https://shop.siyi.biz/products/zt6-mini-optical-pod-dual-sensors-gimbal-camera" TargetMode="External"/><Relationship Id="rId11" Type="http://schemas.openxmlformats.org/officeDocument/2006/relationships/hyperlink" Target="https://www.robotistan.com/raspberry-pi-5-8gb" TargetMode="External"/><Relationship Id="rId24" Type="http://schemas.openxmlformats.org/officeDocument/2006/relationships/hyperlink" Target="https://holybro.com/products/pm02-v3-12s-power-module?srsltid=AfmBOorWctm2Xgax4VA_VvRQcemo6MNGebUWLBqCEIWHjCAqrf5gCLFU" TargetMode="External"/><Relationship Id="rId5" Type="http://schemas.openxmlformats.org/officeDocument/2006/relationships/hyperlink" Target="https://www.amazon.co.uk/APC-10x6-Black-Electric-Propeller/dp/B08271W1YF/ref=sr_1_3?crid=363DEVJZT56OG&amp;dib=eyJ2IjoiMSJ9.rjTP7cca9sEqNhmS6xti-XXNipgH2W5M5jSIipClAoI6YLyCM16NxnAXJRgq7RYFfCwBxWICDdrCxYlXPWbDHl2jTgL4SsGb0EijVX7GnKtYLIEVehimC6J8_CMa7OdaoTs3ks51WVil6bEuCqzUYrO_pNOLgUqlhpn15AlJDHmC0i7XGIEPFqlnpGexNOvkqlYqptXfiVBRdu5QGZjcx6IoIsHfkpebAXLURs6q2iJSTJWsa0y8A__eUzy5gcRZYF0ROzsslxdnmU0gQN1rA7_JM7ylh18Er0Ou79HZwTU.6cHFmgg0laosTol3Hp-oqdLAQbiqCdB2ufZkGDoovnQ&amp;dib_tag=se&amp;keywords=APC+10%22+Thin+Electric+Props+10x6+%283PCS%29&amp;qid=1784461521&amp;sprefix=apc+10+thin+electric+props+10x6+3pcs+%2Caps%2C357&amp;sr=8-3" TargetMode="External"/><Relationship Id="rId15" Type="http://schemas.openxmlformats.org/officeDocument/2006/relationships/hyperlink" Target="https://www.robocombo.com/radiomaster-rp1-v2-elrs-2.4ghz-nano-alici-4066?srsltid=AfmBOooSdNv4ZTQ3GgJoyzZCv56eI4uMqHmeoSqxEeqqTRhKsJHcZH2t" TargetMode="External"/><Relationship Id="rId23" Type="http://schemas.openxmlformats.org/officeDocument/2006/relationships/hyperlink" Target="https://sky-drones.com/power/smartap-pdb.html" TargetMode="External"/><Relationship Id="rId28" Type="http://schemas.openxmlformats.org/officeDocument/2006/relationships/hyperlink" Target="https://www.oyuncakhobi.com/pixhawk-here-3-can-gps-/-gnss-with-m8p?srsltid=AfmBOoo0wpw4qrSRepREMbBRX6NRd9AQj4UQBeIpNdC-QjNVGYdDbwXB" TargetMode="External"/><Relationship Id="rId10" Type="http://schemas.openxmlformats.org/officeDocument/2006/relationships/hyperlink" Target="https://www.robotistan.com/raspberry-pi-5-8gb" TargetMode="External"/><Relationship Id="rId19" Type="http://schemas.openxmlformats.org/officeDocument/2006/relationships/hyperlink" Target="https://www.robocombo.com/geprc-bls60a-4in1-esc-4183?srsltid=AfmBOoq3UZA5uP2a4J-F-cAqulTRskvdMcACNnN2UeIvTz0PV3k8h7sZ" TargetMode="External"/><Relationship Id="rId31" Type="http://schemas.openxmlformats.org/officeDocument/2006/relationships/hyperlink" Target="https://www.robotistan.com/emax-freestyle-fs2306-2306-1700kv-3-6s-buzz-hawk-rc-drone-fpv-yarisi-icin-2400kv-3-4s-fircasiz-motor-11051" TargetMode="External"/><Relationship Id="rId4" Type="http://schemas.openxmlformats.org/officeDocument/2006/relationships/hyperlink" Target="https://www.team-blacksheep.com/products/product:2196?srsltid=AfmBOoqDBf6g6nh1RPJev4RxGd0ihS6CitgC_fcTvNB-UX3sahpKCgyt" TargetMode="External"/><Relationship Id="rId9" Type="http://schemas.openxmlformats.org/officeDocument/2006/relationships/hyperlink" Target="https://www.oyuncakhobi.com/pixhawk-the-cube-orange-imu-v8-standard-set-otopilot-sistemi-ads-b-carrier-board--distributor-garantili?srsltid=AfmBOoomCRPwd0U-UyWlodMtFPzzRhwXhIJTPLqWq4v1taLF49LvZUGm" TargetMode="External"/><Relationship Id="rId14" Type="http://schemas.openxmlformats.org/officeDocument/2006/relationships/hyperlink" Target="https://www.robocombo.com/radiomaster-rp1-v2-elrs-2.4ghz-nano-alici-4066?srsltid=AfmBOooSdNv4ZTQ3GgJoyzZCv56eI4uMqHmeoSqxEeqqTRhKsJHcZH2t" TargetMode="External"/><Relationship Id="rId22" Type="http://schemas.openxmlformats.org/officeDocument/2006/relationships/hyperlink" Target="https://sky-drones.com/power/smartap-pdb.html" TargetMode="External"/><Relationship Id="rId27" Type="http://schemas.openxmlformats.org/officeDocument/2006/relationships/hyperlink" Target="https://sixfab.com/product/sixfab-5g-modem-kit-for-raspberry-pi-5/?srsltid=AfmBOoo2WjhmxjXD90hv0e38MDjJ5jnuzeVkFl46WoL1XRdu8nR8MO5a" TargetMode="External"/><Relationship Id="rId30" Type="http://schemas.openxmlformats.org/officeDocument/2006/relationships/hyperlink" Target="https://www.robotistan.com/emax-freestyle-fs2306-2306-1700kv-3-6s-buzz-hawk-rc-drone-fpv-yarisi-icin-2400kv-3-4s-fircasiz-motor-11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5"/>
  <sheetViews>
    <sheetView tabSelected="1" topLeftCell="A190" zoomScale="85" zoomScaleNormal="85" workbookViewId="0">
      <pane xSplit="1" topLeftCell="D1" activePane="topRight" state="frozen"/>
      <selection pane="topRight" activeCell="E28" sqref="E28:I29"/>
    </sheetView>
  </sheetViews>
  <sheetFormatPr defaultRowHeight="14.4" x14ac:dyDescent="0.3"/>
  <cols>
    <col min="1" max="1" width="40.21875" style="3" customWidth="1"/>
    <col min="2" max="2" width="26" style="4" customWidth="1"/>
    <col min="3" max="3" width="59.5546875" customWidth="1"/>
    <col min="4" max="4" width="77.109375" style="1" customWidth="1"/>
    <col min="5" max="5" width="34" customWidth="1"/>
    <col min="6" max="6" width="37.6640625" style="2" customWidth="1"/>
    <col min="7" max="7" width="24" customWidth="1"/>
    <col min="8" max="8" width="2.109375" style="25" customWidth="1"/>
    <col min="9" max="9" width="36.109375" style="2" customWidth="1"/>
    <col min="10" max="10" width="19.77734375" customWidth="1"/>
  </cols>
  <sheetData>
    <row r="1" spans="1:10" s="8" customForma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24"/>
      <c r="I1" s="7" t="s">
        <v>5</v>
      </c>
      <c r="J1" s="15" t="s">
        <v>7</v>
      </c>
    </row>
    <row r="2" spans="1:10" x14ac:dyDescent="0.3">
      <c r="A2" s="3" t="s">
        <v>8</v>
      </c>
      <c r="B2" s="4" t="s">
        <v>9</v>
      </c>
      <c r="E2" t="s">
        <v>10</v>
      </c>
      <c r="F2" s="2">
        <v>3</v>
      </c>
      <c r="G2" s="1" t="s">
        <v>11</v>
      </c>
      <c r="I2" s="2">
        <v>3</v>
      </c>
      <c r="J2" s="1" t="s">
        <v>11</v>
      </c>
    </row>
    <row r="3" spans="1:10" x14ac:dyDescent="0.3">
      <c r="A3" s="3" t="s">
        <v>12</v>
      </c>
      <c r="B3" s="4" t="s">
        <v>9</v>
      </c>
      <c r="E3" t="s">
        <v>13</v>
      </c>
      <c r="F3" s="2">
        <v>1</v>
      </c>
      <c r="G3" s="1" t="s">
        <v>11</v>
      </c>
      <c r="I3" s="2">
        <v>1</v>
      </c>
      <c r="J3" s="1" t="s">
        <v>11</v>
      </c>
    </row>
    <row r="4" spans="1:10" x14ac:dyDescent="0.3">
      <c r="A4" s="3" t="s">
        <v>14</v>
      </c>
      <c r="B4" s="4" t="s">
        <v>9</v>
      </c>
      <c r="E4" t="s">
        <v>15</v>
      </c>
      <c r="F4" s="2">
        <v>80</v>
      </c>
      <c r="G4" s="1" t="s">
        <v>11</v>
      </c>
      <c r="I4" s="12">
        <f>(I20*I14*60)/1000</f>
        <v>32.4</v>
      </c>
      <c r="J4" s="23" t="s">
        <v>16</v>
      </c>
    </row>
    <row r="5" spans="1:10" x14ac:dyDescent="0.3">
      <c r="A5" s="3" t="s">
        <v>17</v>
      </c>
      <c r="B5" s="4" t="s">
        <v>9</v>
      </c>
      <c r="E5" t="s">
        <v>18</v>
      </c>
      <c r="F5" s="2" t="s">
        <v>19</v>
      </c>
      <c r="G5" s="1" t="s">
        <v>11</v>
      </c>
      <c r="I5" s="2" t="s">
        <v>19</v>
      </c>
      <c r="J5" s="1" t="s">
        <v>11</v>
      </c>
    </row>
    <row r="6" spans="1:10" x14ac:dyDescent="0.3">
      <c r="A6" s="3" t="s">
        <v>20</v>
      </c>
      <c r="B6" s="4" t="s">
        <v>9</v>
      </c>
      <c r="E6" t="s">
        <v>21</v>
      </c>
      <c r="F6" s="2" t="s">
        <v>19</v>
      </c>
      <c r="G6" s="1" t="s">
        <v>11</v>
      </c>
      <c r="I6" s="2" t="s">
        <v>19</v>
      </c>
      <c r="J6" s="1" t="s">
        <v>11</v>
      </c>
    </row>
    <row r="7" spans="1:10" x14ac:dyDescent="0.3">
      <c r="A7" s="3" t="s">
        <v>22</v>
      </c>
      <c r="B7" s="4" t="s">
        <v>9</v>
      </c>
      <c r="E7" t="s">
        <v>23</v>
      </c>
      <c r="F7" s="2">
        <v>90</v>
      </c>
      <c r="G7" s="1" t="s">
        <v>11</v>
      </c>
      <c r="I7" s="2">
        <f t="shared" ref="I7:I12" si="0">F7</f>
        <v>90</v>
      </c>
      <c r="J7" s="1" t="s">
        <v>11</v>
      </c>
    </row>
    <row r="8" spans="1:10" x14ac:dyDescent="0.3">
      <c r="A8" s="3" t="s">
        <v>24</v>
      </c>
      <c r="B8" s="4" t="s">
        <v>9</v>
      </c>
      <c r="E8" t="s">
        <v>25</v>
      </c>
      <c r="F8" s="2">
        <v>10</v>
      </c>
      <c r="G8" s="1" t="s">
        <v>11</v>
      </c>
      <c r="I8" s="2">
        <f t="shared" si="0"/>
        <v>10</v>
      </c>
      <c r="J8" s="1" t="s">
        <v>11</v>
      </c>
    </row>
    <row r="9" spans="1:10" x14ac:dyDescent="0.3">
      <c r="A9" s="3" t="s">
        <v>26</v>
      </c>
      <c r="B9" s="4" t="s">
        <v>9</v>
      </c>
      <c r="E9" t="s">
        <v>27</v>
      </c>
      <c r="F9" s="2">
        <v>10</v>
      </c>
      <c r="G9" s="1" t="s">
        <v>11</v>
      </c>
      <c r="I9" s="2">
        <f t="shared" si="0"/>
        <v>10</v>
      </c>
      <c r="J9" s="1" t="s">
        <v>11</v>
      </c>
    </row>
    <row r="10" spans="1:10" x14ac:dyDescent="0.3">
      <c r="A10" s="3" t="s">
        <v>28</v>
      </c>
      <c r="B10" s="4" t="s">
        <v>9</v>
      </c>
      <c r="E10" t="s">
        <v>29</v>
      </c>
      <c r="F10" s="2" t="s">
        <v>30</v>
      </c>
      <c r="G10" s="1" t="s">
        <v>11</v>
      </c>
      <c r="I10" s="2" t="str">
        <f t="shared" si="0"/>
        <v>10</v>
      </c>
      <c r="J10" s="1" t="s">
        <v>11</v>
      </c>
    </row>
    <row r="11" spans="1:10" x14ac:dyDescent="0.3">
      <c r="A11" s="3" t="s">
        <v>31</v>
      </c>
      <c r="B11" s="4" t="s">
        <v>9</v>
      </c>
      <c r="E11" t="s">
        <v>32</v>
      </c>
      <c r="F11" s="2" t="s">
        <v>33</v>
      </c>
      <c r="G11" s="1" t="s">
        <v>11</v>
      </c>
      <c r="I11" s="2" t="str">
        <f t="shared" si="0"/>
        <v>9.81</v>
      </c>
      <c r="J11" s="1" t="s">
        <v>11</v>
      </c>
    </row>
    <row r="12" spans="1:10" x14ac:dyDescent="0.3">
      <c r="A12" s="3" t="s">
        <v>34</v>
      </c>
      <c r="B12" s="4" t="s">
        <v>9</v>
      </c>
      <c r="E12" t="s">
        <v>35</v>
      </c>
      <c r="F12" s="2">
        <v>2</v>
      </c>
      <c r="G12" s="1" t="s">
        <v>11</v>
      </c>
      <c r="I12" s="2">
        <f t="shared" si="0"/>
        <v>2</v>
      </c>
      <c r="J12" s="1" t="s">
        <v>11</v>
      </c>
    </row>
    <row r="13" spans="1:10" x14ac:dyDescent="0.3">
      <c r="A13" s="3" t="s">
        <v>36</v>
      </c>
      <c r="B13" s="4" t="s">
        <v>9</v>
      </c>
      <c r="E13" t="s">
        <v>37</v>
      </c>
      <c r="F13" s="12" t="s">
        <v>38</v>
      </c>
      <c r="G13" s="23" t="s">
        <v>16</v>
      </c>
      <c r="I13" s="13"/>
      <c r="J13" s="19" t="s">
        <v>39</v>
      </c>
    </row>
    <row r="14" spans="1:10" x14ac:dyDescent="0.3">
      <c r="A14" s="3" t="s">
        <v>40</v>
      </c>
      <c r="B14" s="4" t="s">
        <v>9</v>
      </c>
      <c r="E14" t="s">
        <v>41</v>
      </c>
      <c r="F14" s="12" t="s">
        <v>42</v>
      </c>
      <c r="G14" s="23" t="s">
        <v>16</v>
      </c>
      <c r="I14" s="12">
        <v>30</v>
      </c>
      <c r="J14" s="22" t="s">
        <v>16</v>
      </c>
    </row>
    <row r="15" spans="1:10" x14ac:dyDescent="0.3">
      <c r="A15" s="3" t="s">
        <v>43</v>
      </c>
      <c r="B15" s="4" t="s">
        <v>9</v>
      </c>
      <c r="E15" t="s">
        <v>44</v>
      </c>
      <c r="F15" s="12" t="s">
        <v>45</v>
      </c>
      <c r="G15" s="23" t="s">
        <v>16</v>
      </c>
      <c r="I15" s="13"/>
      <c r="J15" s="19" t="s">
        <v>39</v>
      </c>
    </row>
    <row r="16" spans="1:10" x14ac:dyDescent="0.3">
      <c r="A16" s="3" t="s">
        <v>46</v>
      </c>
      <c r="B16" s="4" t="s">
        <v>9</v>
      </c>
      <c r="E16" t="s">
        <v>47</v>
      </c>
      <c r="F16" s="12" t="s">
        <v>48</v>
      </c>
      <c r="G16" s="23" t="s">
        <v>16</v>
      </c>
      <c r="I16" s="13"/>
      <c r="J16" s="19" t="s">
        <v>39</v>
      </c>
    </row>
    <row r="17" spans="1:10" s="10" customFormat="1" x14ac:dyDescent="0.3">
      <c r="A17" s="9"/>
      <c r="B17" s="9"/>
      <c r="F17" s="11"/>
      <c r="H17" s="25"/>
      <c r="I17" s="11"/>
    </row>
    <row r="18" spans="1:10" x14ac:dyDescent="0.3">
      <c r="A18" s="3" t="s">
        <v>49</v>
      </c>
      <c r="B18" s="4" t="s">
        <v>50</v>
      </c>
      <c r="E18" t="s">
        <v>51</v>
      </c>
      <c r="F18" s="14" t="s">
        <v>52</v>
      </c>
      <c r="G18" s="27" t="s">
        <v>53</v>
      </c>
      <c r="I18" s="12">
        <f>(I162+I171*I184+I178+I188*I184+I202+I238+I245+I252+I259+I266+I273+I280+I287+I294+I301+I315+I324)/(1-I330)</f>
        <v>2.7978769230769229</v>
      </c>
      <c r="J18" s="22" t="s">
        <v>16</v>
      </c>
    </row>
    <row r="19" spans="1:10" x14ac:dyDescent="0.3">
      <c r="A19" s="3" t="s">
        <v>54</v>
      </c>
      <c r="B19" s="4" t="s">
        <v>50</v>
      </c>
      <c r="E19" t="s">
        <v>55</v>
      </c>
      <c r="F19" s="2" t="s">
        <v>56</v>
      </c>
      <c r="G19" s="1" t="s">
        <v>11</v>
      </c>
      <c r="I19" s="2" t="str">
        <f>F19</f>
        <v>[1.0, 8.0]</v>
      </c>
      <c r="J19" s="26" t="s">
        <v>11</v>
      </c>
    </row>
    <row r="20" spans="1:10" x14ac:dyDescent="0.3">
      <c r="A20" s="3" t="s">
        <v>57</v>
      </c>
      <c r="B20" s="4" t="s">
        <v>50</v>
      </c>
      <c r="E20" t="s">
        <v>58</v>
      </c>
      <c r="F20" s="14" t="s">
        <v>59</v>
      </c>
      <c r="G20" s="27" t="s">
        <v>53</v>
      </c>
      <c r="I20" s="2">
        <v>18</v>
      </c>
      <c r="J20" s="26" t="s">
        <v>11</v>
      </c>
    </row>
    <row r="21" spans="1:10" x14ac:dyDescent="0.3">
      <c r="A21" s="3" t="s">
        <v>60</v>
      </c>
      <c r="B21" s="4" t="s">
        <v>50</v>
      </c>
      <c r="E21" t="s">
        <v>61</v>
      </c>
      <c r="F21" s="2" t="s">
        <v>62</v>
      </c>
      <c r="G21" s="1" t="s">
        <v>11</v>
      </c>
      <c r="I21" s="2" t="str">
        <f>F21</f>
        <v>[10.0, 20.0]</v>
      </c>
      <c r="J21" s="26" t="s">
        <v>11</v>
      </c>
    </row>
    <row r="22" spans="1:10" x14ac:dyDescent="0.3">
      <c r="A22" s="3" t="s">
        <v>63</v>
      </c>
      <c r="B22" s="4" t="s">
        <v>50</v>
      </c>
      <c r="E22" t="s">
        <v>64</v>
      </c>
      <c r="F22" s="14" t="s">
        <v>65</v>
      </c>
      <c r="G22" s="27" t="s">
        <v>53</v>
      </c>
      <c r="I22" s="2">
        <v>15</v>
      </c>
      <c r="J22" s="26" t="s">
        <v>11</v>
      </c>
    </row>
    <row r="23" spans="1:10" x14ac:dyDescent="0.3">
      <c r="A23" s="3" t="s">
        <v>66</v>
      </c>
      <c r="B23" s="4" t="s">
        <v>50</v>
      </c>
      <c r="E23" t="s">
        <v>67</v>
      </c>
      <c r="F23" s="2" t="s">
        <v>62</v>
      </c>
      <c r="G23" s="1" t="s">
        <v>11</v>
      </c>
      <c r="I23" s="2" t="str">
        <f>F23</f>
        <v>[10.0, 20.0]</v>
      </c>
      <c r="J23" s="26" t="s">
        <v>11</v>
      </c>
    </row>
    <row r="24" spans="1:10" x14ac:dyDescent="0.3">
      <c r="A24" s="3" t="s">
        <v>68</v>
      </c>
      <c r="B24" s="4" t="s">
        <v>50</v>
      </c>
      <c r="E24" t="s">
        <v>69</v>
      </c>
      <c r="F24" s="2">
        <v>8</v>
      </c>
      <c r="G24" s="1" t="s">
        <v>11</v>
      </c>
      <c r="I24" s="2">
        <v>8</v>
      </c>
      <c r="J24" s="26" t="s">
        <v>11</v>
      </c>
    </row>
    <row r="25" spans="1:10" x14ac:dyDescent="0.3">
      <c r="A25" s="3" t="s">
        <v>70</v>
      </c>
      <c r="B25" s="4" t="s">
        <v>50</v>
      </c>
      <c r="E25" t="s">
        <v>71</v>
      </c>
      <c r="F25" s="12" t="s">
        <v>72</v>
      </c>
      <c r="G25" s="23" t="s">
        <v>16</v>
      </c>
      <c r="I25" s="2">
        <f>I20-I24</f>
        <v>10</v>
      </c>
      <c r="J25" s="26" t="s">
        <v>11</v>
      </c>
    </row>
    <row r="26" spans="1:10" x14ac:dyDescent="0.3">
      <c r="A26" s="3" t="s">
        <v>73</v>
      </c>
      <c r="B26" s="4" t="s">
        <v>50</v>
      </c>
      <c r="E26" t="s">
        <v>74</v>
      </c>
      <c r="F26" s="2">
        <v>0.03</v>
      </c>
      <c r="G26" s="1" t="s">
        <v>11</v>
      </c>
      <c r="I26" s="2">
        <v>0.03</v>
      </c>
      <c r="J26" s="26" t="s">
        <v>11</v>
      </c>
    </row>
    <row r="27" spans="1:10" x14ac:dyDescent="0.3">
      <c r="A27" s="3" t="s">
        <v>75</v>
      </c>
      <c r="B27" s="4" t="s">
        <v>50</v>
      </c>
      <c r="E27" t="s">
        <v>76</v>
      </c>
      <c r="F27" s="2" t="s">
        <v>77</v>
      </c>
      <c r="G27" s="1" t="s">
        <v>11</v>
      </c>
      <c r="I27" s="2" t="s">
        <v>77</v>
      </c>
      <c r="J27" s="26" t="s">
        <v>11</v>
      </c>
    </row>
    <row r="28" spans="1:10" x14ac:dyDescent="0.3">
      <c r="A28" s="3" t="s">
        <v>78</v>
      </c>
      <c r="B28" s="4" t="s">
        <v>50</v>
      </c>
      <c r="E28" t="s">
        <v>79</v>
      </c>
      <c r="F28" s="12" t="s">
        <v>80</v>
      </c>
      <c r="G28" s="23" t="s">
        <v>16</v>
      </c>
      <c r="I28" s="2">
        <v>0.5</v>
      </c>
      <c r="J28" s="26" t="s">
        <v>11</v>
      </c>
    </row>
    <row r="29" spans="1:10" x14ac:dyDescent="0.3">
      <c r="A29" s="3" t="s">
        <v>81</v>
      </c>
      <c r="B29" s="4" t="s">
        <v>50</v>
      </c>
      <c r="E29" t="s">
        <v>82</v>
      </c>
      <c r="F29" s="12" t="s">
        <v>83</v>
      </c>
      <c r="G29" s="23" t="s">
        <v>16</v>
      </c>
      <c r="I29" s="13"/>
      <c r="J29" s="19" t="s">
        <v>39</v>
      </c>
    </row>
    <row r="30" spans="1:10" x14ac:dyDescent="0.3">
      <c r="A30" s="3" t="s">
        <v>84</v>
      </c>
      <c r="B30" s="4" t="s">
        <v>50</v>
      </c>
      <c r="E30" t="s">
        <v>85</v>
      </c>
      <c r="F30" s="12" t="s">
        <v>86</v>
      </c>
      <c r="G30" s="23" t="s">
        <v>16</v>
      </c>
      <c r="I30" s="13"/>
      <c r="J30" s="19" t="s">
        <v>39</v>
      </c>
    </row>
    <row r="31" spans="1:10" x14ac:dyDescent="0.3">
      <c r="A31" s="3" t="s">
        <v>87</v>
      </c>
      <c r="B31" s="4" t="s">
        <v>50</v>
      </c>
      <c r="E31" t="s">
        <v>88</v>
      </c>
      <c r="F31" s="2">
        <v>2</v>
      </c>
      <c r="G31" s="1" t="s">
        <v>11</v>
      </c>
      <c r="I31" s="13"/>
      <c r="J31" s="19" t="s">
        <v>39</v>
      </c>
    </row>
    <row r="32" spans="1:10" x14ac:dyDescent="0.3">
      <c r="A32" s="3" t="s">
        <v>89</v>
      </c>
      <c r="B32" s="4" t="s">
        <v>50</v>
      </c>
      <c r="E32" t="s">
        <v>90</v>
      </c>
      <c r="F32" s="12" t="s">
        <v>91</v>
      </c>
      <c r="G32" s="23" t="s">
        <v>16</v>
      </c>
      <c r="I32" s="12">
        <v>735.2</v>
      </c>
      <c r="J32" s="23" t="s">
        <v>16</v>
      </c>
    </row>
    <row r="33" spans="1:10" x14ac:dyDescent="0.3">
      <c r="A33" s="3" t="s">
        <v>92</v>
      </c>
      <c r="B33" s="4" t="s">
        <v>50</v>
      </c>
      <c r="E33" t="s">
        <v>93</v>
      </c>
      <c r="F33" s="12" t="s">
        <v>94</v>
      </c>
      <c r="G33" s="23" t="s">
        <v>16</v>
      </c>
      <c r="I33" s="12">
        <v>97.9</v>
      </c>
      <c r="J33" s="23" t="s">
        <v>16</v>
      </c>
    </row>
    <row r="34" spans="1:10" x14ac:dyDescent="0.3">
      <c r="A34" s="3" t="s">
        <v>95</v>
      </c>
      <c r="B34" s="4" t="s">
        <v>50</v>
      </c>
      <c r="E34" t="s">
        <v>96</v>
      </c>
      <c r="F34" s="12" t="s">
        <v>97</v>
      </c>
      <c r="G34" s="23" t="s">
        <v>16</v>
      </c>
      <c r="I34" s="12">
        <v>231.6</v>
      </c>
      <c r="J34" s="23" t="s">
        <v>16</v>
      </c>
    </row>
    <row r="35" spans="1:10" x14ac:dyDescent="0.3">
      <c r="A35" s="3" t="s">
        <v>98</v>
      </c>
      <c r="B35" s="4" t="s">
        <v>50</v>
      </c>
      <c r="E35" t="s">
        <v>99</v>
      </c>
      <c r="F35" s="12" t="s">
        <v>100</v>
      </c>
      <c r="G35" s="23" t="s">
        <v>16</v>
      </c>
      <c r="I35" s="12">
        <v>2213.1999999999998</v>
      </c>
      <c r="J35" s="23" t="s">
        <v>16</v>
      </c>
    </row>
    <row r="36" spans="1:10" x14ac:dyDescent="0.3">
      <c r="A36" s="3" t="s">
        <v>101</v>
      </c>
      <c r="B36" s="4" t="s">
        <v>50</v>
      </c>
      <c r="E36" t="s">
        <v>102</v>
      </c>
      <c r="F36" s="12" t="s">
        <v>48</v>
      </c>
      <c r="G36" s="23" t="s">
        <v>16</v>
      </c>
      <c r="I36" s="13"/>
      <c r="J36" s="19" t="s">
        <v>39</v>
      </c>
    </row>
    <row r="37" spans="1:10" x14ac:dyDescent="0.3">
      <c r="A37" s="3" t="s">
        <v>103</v>
      </c>
      <c r="B37" s="4" t="s">
        <v>50</v>
      </c>
      <c r="E37" t="s">
        <v>104</v>
      </c>
      <c r="F37" s="12" t="s">
        <v>105</v>
      </c>
      <c r="G37" s="23" t="s">
        <v>16</v>
      </c>
      <c r="I37" s="21"/>
      <c r="J37" s="19" t="s">
        <v>39</v>
      </c>
    </row>
    <row r="38" spans="1:10" x14ac:dyDescent="0.3">
      <c r="A38" s="3" t="s">
        <v>106</v>
      </c>
      <c r="B38" s="4" t="s">
        <v>50</v>
      </c>
      <c r="E38" t="s">
        <v>107</v>
      </c>
      <c r="F38" s="12" t="s">
        <v>108</v>
      </c>
      <c r="G38" s="23" t="s">
        <v>16</v>
      </c>
      <c r="I38" s="21"/>
      <c r="J38" s="19" t="s">
        <v>39</v>
      </c>
    </row>
    <row r="39" spans="1:10" x14ac:dyDescent="0.3">
      <c r="A39" s="3" t="s">
        <v>109</v>
      </c>
      <c r="B39" s="4" t="s">
        <v>50</v>
      </c>
      <c r="E39" t="s">
        <v>110</v>
      </c>
      <c r="F39" s="2" t="s">
        <v>111</v>
      </c>
      <c r="G39" s="1" t="s">
        <v>11</v>
      </c>
      <c r="I39" s="13"/>
      <c r="J39" s="19" t="s">
        <v>39</v>
      </c>
    </row>
    <row r="40" spans="1:10" x14ac:dyDescent="0.3">
      <c r="A40" s="3" t="s">
        <v>112</v>
      </c>
      <c r="B40" s="4" t="s">
        <v>50</v>
      </c>
      <c r="E40" t="s">
        <v>113</v>
      </c>
      <c r="F40" s="12" t="s">
        <v>114</v>
      </c>
      <c r="G40" s="23" t="s">
        <v>16</v>
      </c>
      <c r="I40" s="13"/>
      <c r="J40" s="19" t="s">
        <v>39</v>
      </c>
    </row>
    <row r="41" spans="1:10" x14ac:dyDescent="0.3">
      <c r="A41" s="3" t="s">
        <v>115</v>
      </c>
      <c r="B41" s="4" t="s">
        <v>50</v>
      </c>
      <c r="E41" t="s">
        <v>116</v>
      </c>
      <c r="F41" s="13"/>
      <c r="G41" t="s">
        <v>117</v>
      </c>
      <c r="I41" s="12">
        <f>I168+I175*I184+I182+I190+I204+I242+I249+I256+I263+I270+I277+I284+I291+I298+I312+I319+I325*I323</f>
        <v>6166.74</v>
      </c>
      <c r="J41" s="22" t="s">
        <v>16</v>
      </c>
    </row>
    <row r="42" spans="1:10" s="10" customFormat="1" x14ac:dyDescent="0.3">
      <c r="A42" s="9"/>
      <c r="B42" s="9"/>
      <c r="F42" s="11"/>
      <c r="H42" s="25"/>
      <c r="I42" s="11"/>
    </row>
    <row r="43" spans="1:10" x14ac:dyDescent="0.3">
      <c r="A43" s="3" t="s">
        <v>118</v>
      </c>
      <c r="B43" s="4" t="s">
        <v>119</v>
      </c>
      <c r="E43" t="s">
        <v>120</v>
      </c>
      <c r="F43" s="14" t="s">
        <v>121</v>
      </c>
      <c r="G43" s="27" t="s">
        <v>53</v>
      </c>
      <c r="I43" s="12">
        <v>0.30299999999999999</v>
      </c>
      <c r="J43" s="22" t="s">
        <v>16</v>
      </c>
    </row>
    <row r="44" spans="1:10" x14ac:dyDescent="0.3">
      <c r="A44" s="3" t="s">
        <v>122</v>
      </c>
      <c r="B44" s="4" t="s">
        <v>119</v>
      </c>
      <c r="E44" t="s">
        <v>123</v>
      </c>
      <c r="F44" s="2" t="s">
        <v>124</v>
      </c>
      <c r="G44" s="1" t="s">
        <v>11</v>
      </c>
      <c r="I44" s="13"/>
      <c r="J44" s="19" t="s">
        <v>39</v>
      </c>
    </row>
    <row r="45" spans="1:10" x14ac:dyDescent="0.3">
      <c r="A45" s="3" t="s">
        <v>125</v>
      </c>
      <c r="B45" s="4" t="s">
        <v>119</v>
      </c>
      <c r="E45" t="s">
        <v>126</v>
      </c>
      <c r="F45" s="14" t="s">
        <v>127</v>
      </c>
      <c r="G45" s="27" t="s">
        <v>53</v>
      </c>
      <c r="I45" s="2">
        <v>8.5</v>
      </c>
      <c r="J45" s="26" t="s">
        <v>11</v>
      </c>
    </row>
    <row r="46" spans="1:10" x14ac:dyDescent="0.3">
      <c r="A46" s="3" t="s">
        <v>128</v>
      </c>
      <c r="B46" s="4" t="s">
        <v>119</v>
      </c>
      <c r="E46" t="s">
        <v>129</v>
      </c>
      <c r="F46" s="2" t="s">
        <v>130</v>
      </c>
      <c r="G46" s="1" t="s">
        <v>11</v>
      </c>
      <c r="I46" s="13"/>
      <c r="J46" s="19" t="s">
        <v>39</v>
      </c>
    </row>
    <row r="47" spans="1:10" x14ac:dyDescent="0.3">
      <c r="A47" s="3" t="s">
        <v>131</v>
      </c>
      <c r="B47" s="4" t="s">
        <v>119</v>
      </c>
      <c r="E47" t="s">
        <v>132</v>
      </c>
      <c r="F47" s="2" t="s">
        <v>19</v>
      </c>
      <c r="G47" s="1" t="s">
        <v>11</v>
      </c>
      <c r="I47" s="2">
        <v>1</v>
      </c>
      <c r="J47" s="26" t="s">
        <v>11</v>
      </c>
    </row>
    <row r="48" spans="1:10" x14ac:dyDescent="0.3">
      <c r="A48" s="3" t="s">
        <v>133</v>
      </c>
      <c r="B48" s="4" t="s">
        <v>119</v>
      </c>
      <c r="E48" t="s">
        <v>134</v>
      </c>
      <c r="F48" s="2" t="s">
        <v>135</v>
      </c>
      <c r="G48" s="1" t="s">
        <v>11</v>
      </c>
      <c r="I48" s="2">
        <v>0.8</v>
      </c>
      <c r="J48" s="26" t="s">
        <v>11</v>
      </c>
    </row>
    <row r="49" spans="1:12" x14ac:dyDescent="0.3">
      <c r="A49" s="3" t="s">
        <v>136</v>
      </c>
      <c r="B49" s="4" t="s">
        <v>119</v>
      </c>
      <c r="E49" t="s">
        <v>137</v>
      </c>
      <c r="F49" s="2" t="s">
        <v>138</v>
      </c>
      <c r="G49" s="1" t="s">
        <v>11</v>
      </c>
      <c r="I49" s="13"/>
      <c r="J49" s="19" t="s">
        <v>39</v>
      </c>
    </row>
    <row r="50" spans="1:12" x14ac:dyDescent="0.3">
      <c r="A50" s="3" t="s">
        <v>139</v>
      </c>
      <c r="B50" s="4" t="s">
        <v>119</v>
      </c>
      <c r="E50" t="s">
        <v>140</v>
      </c>
      <c r="F50" s="2" t="s">
        <v>141</v>
      </c>
      <c r="G50" s="1" t="s">
        <v>11</v>
      </c>
      <c r="I50" s="2">
        <v>0.85</v>
      </c>
      <c r="J50" s="26" t="s">
        <v>11</v>
      </c>
    </row>
    <row r="51" spans="1:12" x14ac:dyDescent="0.3">
      <c r="A51" s="3" t="s">
        <v>142</v>
      </c>
      <c r="B51" s="4" t="s">
        <v>119</v>
      </c>
      <c r="E51" t="s">
        <v>143</v>
      </c>
      <c r="F51" s="2" t="s">
        <v>144</v>
      </c>
      <c r="G51" s="1" t="s">
        <v>11</v>
      </c>
      <c r="I51" s="13"/>
      <c r="J51" s="19" t="s">
        <v>39</v>
      </c>
    </row>
    <row r="52" spans="1:12" x14ac:dyDescent="0.3">
      <c r="A52" s="3" t="s">
        <v>145</v>
      </c>
      <c r="B52" s="4" t="s">
        <v>119</v>
      </c>
      <c r="E52" t="s">
        <v>146</v>
      </c>
      <c r="F52" s="2" t="s">
        <v>144</v>
      </c>
      <c r="G52" s="1" t="s">
        <v>11</v>
      </c>
      <c r="I52" s="13"/>
      <c r="J52" s="19" t="s">
        <v>39</v>
      </c>
    </row>
    <row r="53" spans="1:12" x14ac:dyDescent="0.3">
      <c r="A53" s="3" t="s">
        <v>147</v>
      </c>
      <c r="B53" s="4" t="s">
        <v>119</v>
      </c>
      <c r="E53" t="s">
        <v>148</v>
      </c>
      <c r="F53" s="2" t="s">
        <v>144</v>
      </c>
      <c r="G53" s="1" t="s">
        <v>11</v>
      </c>
      <c r="I53" s="13"/>
      <c r="J53" s="19" t="s">
        <v>39</v>
      </c>
    </row>
    <row r="54" spans="1:12" x14ac:dyDescent="0.3">
      <c r="A54" s="3" t="s">
        <v>149</v>
      </c>
      <c r="B54" s="4" t="s">
        <v>119</v>
      </c>
      <c r="E54" t="s">
        <v>150</v>
      </c>
      <c r="F54" s="2" t="s">
        <v>144</v>
      </c>
      <c r="G54" s="1" t="s">
        <v>11</v>
      </c>
      <c r="I54" s="13"/>
      <c r="J54" s="19" t="s">
        <v>39</v>
      </c>
    </row>
    <row r="55" spans="1:12" x14ac:dyDescent="0.3">
      <c r="A55" s="3" t="s">
        <v>151</v>
      </c>
      <c r="B55" s="4" t="s">
        <v>119</v>
      </c>
      <c r="E55" t="s">
        <v>152</v>
      </c>
      <c r="F55" s="2">
        <v>2</v>
      </c>
      <c r="G55" s="1" t="s">
        <v>11</v>
      </c>
      <c r="I55" s="13"/>
      <c r="J55" s="19" t="s">
        <v>39</v>
      </c>
    </row>
    <row r="56" spans="1:12" x14ac:dyDescent="0.3">
      <c r="A56" s="3" t="s">
        <v>153</v>
      </c>
      <c r="B56" s="4" t="s">
        <v>119</v>
      </c>
      <c r="E56" t="s">
        <v>154</v>
      </c>
      <c r="F56" s="2" t="s">
        <v>144</v>
      </c>
      <c r="G56" s="1" t="s">
        <v>11</v>
      </c>
      <c r="I56" s="13"/>
      <c r="J56" s="19" t="s">
        <v>39</v>
      </c>
    </row>
    <row r="57" spans="1:12" x14ac:dyDescent="0.3">
      <c r="A57" s="3" t="s">
        <v>155</v>
      </c>
      <c r="B57" s="4" t="s">
        <v>119</v>
      </c>
      <c r="E57" t="s">
        <v>156</v>
      </c>
      <c r="F57" s="2">
        <v>0.09</v>
      </c>
      <c r="G57" s="1" t="s">
        <v>11</v>
      </c>
      <c r="I57" s="13"/>
      <c r="J57" s="19" t="s">
        <v>39</v>
      </c>
    </row>
    <row r="58" spans="1:12" x14ac:dyDescent="0.3">
      <c r="A58" s="3" t="s">
        <v>157</v>
      </c>
      <c r="B58" s="4" t="s">
        <v>119</v>
      </c>
      <c r="E58" t="s">
        <v>158</v>
      </c>
      <c r="F58" s="2">
        <v>0.06</v>
      </c>
      <c r="G58" s="1" t="s">
        <v>11</v>
      </c>
      <c r="I58" s="13"/>
      <c r="J58" s="19" t="s">
        <v>39</v>
      </c>
      <c r="L58" s="19"/>
    </row>
    <row r="59" spans="1:12" x14ac:dyDescent="0.3">
      <c r="A59" s="3" t="s">
        <v>159</v>
      </c>
      <c r="B59" s="4" t="s">
        <v>119</v>
      </c>
      <c r="E59" t="s">
        <v>160</v>
      </c>
      <c r="F59" s="2" t="s">
        <v>161</v>
      </c>
      <c r="G59" s="1" t="s">
        <v>11</v>
      </c>
      <c r="I59" s="13"/>
      <c r="J59" s="19" t="s">
        <v>39</v>
      </c>
    </row>
    <row r="60" spans="1:12" x14ac:dyDescent="0.3">
      <c r="A60" s="3" t="s">
        <v>162</v>
      </c>
      <c r="B60" s="4" t="s">
        <v>119</v>
      </c>
      <c r="E60" t="s">
        <v>163</v>
      </c>
      <c r="F60" s="2">
        <v>0.09</v>
      </c>
      <c r="G60" s="1" t="s">
        <v>11</v>
      </c>
      <c r="I60" s="13"/>
      <c r="J60" s="19" t="s">
        <v>39</v>
      </c>
    </row>
    <row r="61" spans="1:12" x14ac:dyDescent="0.3">
      <c r="A61" s="3" t="s">
        <v>164</v>
      </c>
      <c r="B61" s="4" t="s">
        <v>119</v>
      </c>
      <c r="E61" t="s">
        <v>165</v>
      </c>
      <c r="F61" s="2">
        <v>0.06</v>
      </c>
      <c r="G61" s="1" t="s">
        <v>11</v>
      </c>
      <c r="I61" s="13"/>
      <c r="J61" s="19" t="s">
        <v>39</v>
      </c>
    </row>
    <row r="62" spans="1:12" x14ac:dyDescent="0.3">
      <c r="A62" s="3" t="s">
        <v>166</v>
      </c>
      <c r="B62" s="4" t="s">
        <v>119</v>
      </c>
      <c r="E62" t="s">
        <v>167</v>
      </c>
      <c r="F62" s="2" t="s">
        <v>161</v>
      </c>
      <c r="G62" s="1" t="s">
        <v>11</v>
      </c>
      <c r="I62" s="13"/>
      <c r="J62" s="19" t="s">
        <v>39</v>
      </c>
    </row>
    <row r="63" spans="1:12" x14ac:dyDescent="0.3">
      <c r="A63" s="3" t="s">
        <v>168</v>
      </c>
      <c r="B63" s="4" t="s">
        <v>119</v>
      </c>
      <c r="E63" t="s">
        <v>169</v>
      </c>
      <c r="F63" s="14" t="s">
        <v>170</v>
      </c>
      <c r="G63" s="27" t="s">
        <v>53</v>
      </c>
      <c r="I63" s="12">
        <f>SQRT(I43*I45)</f>
        <v>1.6048364402642408</v>
      </c>
      <c r="J63" s="22" t="s">
        <v>16</v>
      </c>
    </row>
    <row r="64" spans="1:12" x14ac:dyDescent="0.3">
      <c r="A64" s="3" t="s">
        <v>171</v>
      </c>
      <c r="B64" s="4" t="s">
        <v>119</v>
      </c>
      <c r="E64" t="s">
        <v>172</v>
      </c>
      <c r="F64" s="2" t="s">
        <v>173</v>
      </c>
      <c r="G64" s="1" t="s">
        <v>11</v>
      </c>
      <c r="I64" s="13"/>
      <c r="J64" s="19" t="s">
        <v>39</v>
      </c>
    </row>
    <row r="65" spans="1:10" x14ac:dyDescent="0.3">
      <c r="A65" s="3" t="s">
        <v>174</v>
      </c>
      <c r="B65" s="4" t="s">
        <v>119</v>
      </c>
      <c r="E65" t="s">
        <v>175</v>
      </c>
      <c r="F65" s="2">
        <v>0.25</v>
      </c>
      <c r="G65" s="1" t="s">
        <v>11</v>
      </c>
      <c r="I65" s="2">
        <v>0.25</v>
      </c>
      <c r="J65" s="1" t="s">
        <v>11</v>
      </c>
    </row>
    <row r="66" spans="1:10" x14ac:dyDescent="0.3">
      <c r="A66" s="3" t="s">
        <v>176</v>
      </c>
      <c r="B66" s="4" t="s">
        <v>119</v>
      </c>
      <c r="E66" t="s">
        <v>177</v>
      </c>
      <c r="F66" s="2">
        <v>0.6</v>
      </c>
      <c r="G66" s="1" t="s">
        <v>11</v>
      </c>
      <c r="I66" s="2">
        <v>0.6</v>
      </c>
      <c r="J66" s="1" t="s">
        <v>11</v>
      </c>
    </row>
    <row r="67" spans="1:10" x14ac:dyDescent="0.3">
      <c r="A67" s="3" t="s">
        <v>178</v>
      </c>
      <c r="B67" s="4" t="s">
        <v>119</v>
      </c>
      <c r="E67" t="s">
        <v>179</v>
      </c>
      <c r="F67" s="2">
        <v>0.9</v>
      </c>
      <c r="G67" s="1" t="s">
        <v>11</v>
      </c>
      <c r="I67" s="2">
        <v>0.9</v>
      </c>
      <c r="J67" s="1" t="s">
        <v>11</v>
      </c>
    </row>
    <row r="68" spans="1:10" x14ac:dyDescent="0.3">
      <c r="A68" s="3" t="s">
        <v>180</v>
      </c>
      <c r="B68" s="4" t="s">
        <v>119</v>
      </c>
      <c r="E68" s="19" t="s">
        <v>181</v>
      </c>
      <c r="F68" s="12" t="s">
        <v>182</v>
      </c>
      <c r="G68" s="23" t="s">
        <v>16</v>
      </c>
      <c r="I68" s="12">
        <f>2*I43/(I63*(1+I48))</f>
        <v>0.20978254121101186</v>
      </c>
      <c r="J68" s="22" t="s">
        <v>16</v>
      </c>
    </row>
    <row r="69" spans="1:10" x14ac:dyDescent="0.3">
      <c r="A69" s="3" t="s">
        <v>183</v>
      </c>
      <c r="B69" s="4" t="s">
        <v>119</v>
      </c>
      <c r="E69" s="19" t="s">
        <v>184</v>
      </c>
      <c r="F69" s="12" t="s">
        <v>185</v>
      </c>
      <c r="G69" s="23" t="s">
        <v>16</v>
      </c>
      <c r="I69" s="12">
        <f>I68*I48</f>
        <v>0.16782603296880949</v>
      </c>
      <c r="J69" s="22" t="s">
        <v>16</v>
      </c>
    </row>
    <row r="70" spans="1:10" x14ac:dyDescent="0.3">
      <c r="A70" s="3" t="s">
        <v>186</v>
      </c>
      <c r="B70" s="4" t="s">
        <v>119</v>
      </c>
      <c r="E70" s="19" t="s">
        <v>187</v>
      </c>
      <c r="F70" s="12"/>
      <c r="G70" s="23" t="s">
        <v>16</v>
      </c>
      <c r="I70" s="12">
        <f>(I63/2)*TAN(RADIANS(I47))</f>
        <v>1.4006262131990953E-2</v>
      </c>
      <c r="J70" s="22" t="s">
        <v>16</v>
      </c>
    </row>
    <row r="71" spans="1:10" x14ac:dyDescent="0.3">
      <c r="A71" s="3" t="s">
        <v>188</v>
      </c>
      <c r="B71" s="4" t="s">
        <v>119</v>
      </c>
      <c r="E71" s="19" t="s">
        <v>189</v>
      </c>
      <c r="F71" s="12"/>
      <c r="G71" s="23" t="s">
        <v>16</v>
      </c>
      <c r="I71" s="12">
        <f>(2/3)*I68*((1+I48+I48^2)/(1+I48))</f>
        <v>0.18958125946476631</v>
      </c>
      <c r="J71" s="22" t="s">
        <v>16</v>
      </c>
    </row>
    <row r="72" spans="1:10" x14ac:dyDescent="0.3">
      <c r="A72" s="3" t="s">
        <v>190</v>
      </c>
      <c r="B72" s="4" t="s">
        <v>119</v>
      </c>
      <c r="E72" s="19" t="s">
        <v>191</v>
      </c>
      <c r="F72" s="12"/>
      <c r="G72" s="23" t="s">
        <v>16</v>
      </c>
      <c r="I72" s="12">
        <f>I71/4</f>
        <v>4.7395314866191578E-2</v>
      </c>
      <c r="J72" s="22" t="s">
        <v>16</v>
      </c>
    </row>
    <row r="73" spans="1:10" x14ac:dyDescent="0.3">
      <c r="A73" s="3" t="s">
        <v>192</v>
      </c>
      <c r="B73" s="4" t="s">
        <v>119</v>
      </c>
      <c r="E73" s="19" t="s">
        <v>193</v>
      </c>
      <c r="F73" s="12"/>
      <c r="G73" s="23" t="s">
        <v>16</v>
      </c>
      <c r="I73" s="12">
        <f>(I63/6)*((1+2*I48)/(1+I48))</f>
        <v>0.3863495133969469</v>
      </c>
      <c r="J73" s="22" t="s">
        <v>16</v>
      </c>
    </row>
    <row r="74" spans="1:10" x14ac:dyDescent="0.3">
      <c r="A74" s="3" t="s">
        <v>194</v>
      </c>
      <c r="B74" s="4" t="s">
        <v>119</v>
      </c>
      <c r="E74" s="19" t="s">
        <v>195</v>
      </c>
      <c r="F74" s="12"/>
      <c r="G74" s="23" t="s">
        <v>16</v>
      </c>
      <c r="I74" s="12">
        <f>TAN(RADIANS(I47))*I73</f>
        <v>6.7437558413289776E-3</v>
      </c>
      <c r="J74" s="22" t="s">
        <v>16</v>
      </c>
    </row>
    <row r="75" spans="1:10" x14ac:dyDescent="0.3">
      <c r="A75" s="3" t="s">
        <v>196</v>
      </c>
      <c r="B75" s="4" t="s">
        <v>119</v>
      </c>
      <c r="E75" s="19" t="s">
        <v>197</v>
      </c>
      <c r="F75" s="12"/>
      <c r="G75" s="23" t="s">
        <v>16</v>
      </c>
      <c r="I75" s="12">
        <f>I74+I72</f>
        <v>5.4139070707520554E-2</v>
      </c>
      <c r="J75" s="22" t="s">
        <v>16</v>
      </c>
    </row>
    <row r="76" spans="1:10" s="10" customFormat="1" x14ac:dyDescent="0.3">
      <c r="A76" s="9"/>
      <c r="B76" s="9"/>
      <c r="F76" s="11"/>
      <c r="H76" s="25"/>
      <c r="I76" s="11"/>
    </row>
    <row r="77" spans="1:10" x14ac:dyDescent="0.3">
      <c r="A77" s="3" t="s">
        <v>198</v>
      </c>
      <c r="B77" s="4" t="s">
        <v>199</v>
      </c>
      <c r="E77" s="28" t="s">
        <v>200</v>
      </c>
      <c r="F77" s="29">
        <v>0.6</v>
      </c>
      <c r="G77" s="30" t="s">
        <v>11</v>
      </c>
      <c r="I77" s="29">
        <v>0.6</v>
      </c>
      <c r="J77" s="30" t="s">
        <v>11</v>
      </c>
    </row>
    <row r="78" spans="1:10" x14ac:dyDescent="0.3">
      <c r="A78" s="3" t="s">
        <v>201</v>
      </c>
      <c r="B78" s="4" t="s">
        <v>199</v>
      </c>
      <c r="E78" s="28" t="s">
        <v>202</v>
      </c>
      <c r="F78" s="29">
        <v>0.03</v>
      </c>
      <c r="G78" s="30" t="s">
        <v>11</v>
      </c>
      <c r="I78" s="29">
        <v>0.03</v>
      </c>
      <c r="J78" s="30" t="s">
        <v>11</v>
      </c>
    </row>
    <row r="79" spans="1:10" x14ac:dyDescent="0.3">
      <c r="A79" s="3" t="s">
        <v>203</v>
      </c>
      <c r="B79" s="4" t="s">
        <v>199</v>
      </c>
      <c r="E79" s="28" t="s">
        <v>204</v>
      </c>
      <c r="F79" s="29">
        <v>8</v>
      </c>
      <c r="G79" s="30" t="s">
        <v>11</v>
      </c>
      <c r="I79" s="29">
        <v>8</v>
      </c>
      <c r="J79" s="30" t="s">
        <v>11</v>
      </c>
    </row>
    <row r="80" spans="1:10" x14ac:dyDescent="0.3">
      <c r="A80" s="3" t="s">
        <v>205</v>
      </c>
      <c r="B80" s="4" t="s">
        <v>199</v>
      </c>
      <c r="E80" s="28" t="s">
        <v>206</v>
      </c>
      <c r="F80" s="29">
        <v>5</v>
      </c>
      <c r="G80" s="30" t="s">
        <v>11</v>
      </c>
      <c r="I80" s="29">
        <v>5</v>
      </c>
      <c r="J80" s="30" t="s">
        <v>11</v>
      </c>
    </row>
    <row r="81" spans="1:10" x14ac:dyDescent="0.3">
      <c r="A81" s="3" t="s">
        <v>207</v>
      </c>
      <c r="B81" s="4" t="s">
        <v>199</v>
      </c>
      <c r="E81" s="28" t="s">
        <v>208</v>
      </c>
      <c r="F81" s="29">
        <v>1</v>
      </c>
      <c r="G81" s="30" t="s">
        <v>11</v>
      </c>
      <c r="I81" s="29">
        <v>0.8</v>
      </c>
      <c r="J81" s="30" t="s">
        <v>11</v>
      </c>
    </row>
    <row r="82" spans="1:10" x14ac:dyDescent="0.3">
      <c r="A82" s="3" t="s">
        <v>209</v>
      </c>
      <c r="B82" s="4" t="s">
        <v>199</v>
      </c>
      <c r="E82" s="28" t="s">
        <v>210</v>
      </c>
      <c r="F82" s="29">
        <v>1</v>
      </c>
      <c r="G82" s="30" t="s">
        <v>11</v>
      </c>
      <c r="I82" s="29">
        <v>0.9</v>
      </c>
      <c r="J82" s="30" t="s">
        <v>11</v>
      </c>
    </row>
    <row r="83" spans="1:10" x14ac:dyDescent="0.3">
      <c r="A83" s="3" t="s">
        <v>211</v>
      </c>
      <c r="B83" s="4" t="s">
        <v>199</v>
      </c>
      <c r="E83" s="28" t="s">
        <v>212</v>
      </c>
      <c r="F83" s="29">
        <v>0</v>
      </c>
      <c r="G83" s="30" t="s">
        <v>11</v>
      </c>
      <c r="I83" s="29">
        <v>2</v>
      </c>
      <c r="J83" s="30" t="s">
        <v>11</v>
      </c>
    </row>
    <row r="84" spans="1:10" x14ac:dyDescent="0.3">
      <c r="A84" s="3" t="s">
        <v>213</v>
      </c>
      <c r="B84" s="4" t="s">
        <v>199</v>
      </c>
      <c r="E84" s="28" t="s">
        <v>214</v>
      </c>
      <c r="F84" s="29">
        <v>0</v>
      </c>
      <c r="G84" s="30" t="s">
        <v>11</v>
      </c>
      <c r="I84" s="29">
        <v>2</v>
      </c>
      <c r="J84" s="30" t="s">
        <v>11</v>
      </c>
    </row>
    <row r="85" spans="1:10" x14ac:dyDescent="0.3">
      <c r="A85" s="3" t="s">
        <v>215</v>
      </c>
      <c r="B85" s="4" t="s">
        <v>199</v>
      </c>
      <c r="E85" s="28" t="s">
        <v>216</v>
      </c>
      <c r="F85" s="29">
        <v>0</v>
      </c>
      <c r="G85" s="30" t="s">
        <v>11</v>
      </c>
      <c r="I85" s="29">
        <v>0</v>
      </c>
      <c r="J85" s="30" t="s">
        <v>11</v>
      </c>
    </row>
    <row r="86" spans="1:10" x14ac:dyDescent="0.3">
      <c r="A86" s="3" t="s">
        <v>217</v>
      </c>
      <c r="B86" s="4" t="s">
        <v>199</v>
      </c>
      <c r="E86" s="28" t="s">
        <v>218</v>
      </c>
      <c r="F86" s="29">
        <v>0</v>
      </c>
      <c r="G86" s="30" t="s">
        <v>11</v>
      </c>
      <c r="I86" s="29">
        <v>0</v>
      </c>
      <c r="J86" s="30" t="s">
        <v>11</v>
      </c>
    </row>
    <row r="87" spans="1:10" x14ac:dyDescent="0.3">
      <c r="A87" s="3" t="s">
        <v>219</v>
      </c>
      <c r="B87" s="4" t="s">
        <v>199</v>
      </c>
      <c r="E87" s="28" t="s">
        <v>220</v>
      </c>
      <c r="F87" s="29">
        <v>90</v>
      </c>
      <c r="G87" s="30" t="s">
        <v>11</v>
      </c>
      <c r="I87" s="29">
        <v>90</v>
      </c>
      <c r="J87" s="30" t="s">
        <v>11</v>
      </c>
    </row>
    <row r="88" spans="1:10" x14ac:dyDescent="0.3">
      <c r="A88" s="3" t="s">
        <v>221</v>
      </c>
      <c r="B88" s="4" t="s">
        <v>199</v>
      </c>
      <c r="E88" s="28" t="s">
        <v>222</v>
      </c>
      <c r="F88" s="29">
        <v>0</v>
      </c>
      <c r="G88" s="30" t="s">
        <v>11</v>
      </c>
      <c r="I88" s="29">
        <v>0</v>
      </c>
      <c r="J88" s="30" t="s">
        <v>11</v>
      </c>
    </row>
    <row r="89" spans="1:10" x14ac:dyDescent="0.3">
      <c r="A89" s="3" t="s">
        <v>223</v>
      </c>
      <c r="B89" s="4" t="s">
        <v>199</v>
      </c>
      <c r="E89" s="28" t="s">
        <v>224</v>
      </c>
      <c r="F89" s="29">
        <v>0</v>
      </c>
      <c r="G89" s="30" t="s">
        <v>11</v>
      </c>
      <c r="I89" s="29">
        <v>0</v>
      </c>
      <c r="J89" s="30" t="s">
        <v>11</v>
      </c>
    </row>
    <row r="90" spans="1:10" x14ac:dyDescent="0.3">
      <c r="A90" s="3" t="s">
        <v>225</v>
      </c>
      <c r="B90" s="4" t="s">
        <v>199</v>
      </c>
      <c r="E90" s="28" t="s">
        <v>226</v>
      </c>
      <c r="F90" s="29">
        <v>0</v>
      </c>
      <c r="G90" s="30" t="s">
        <v>11</v>
      </c>
      <c r="I90" s="29">
        <v>0</v>
      </c>
      <c r="J90" s="30" t="s">
        <v>11</v>
      </c>
    </row>
    <row r="91" spans="1:10" x14ac:dyDescent="0.3">
      <c r="A91" s="3" t="s">
        <v>227</v>
      </c>
      <c r="B91" s="4" t="s">
        <v>199</v>
      </c>
      <c r="E91" s="28" t="s">
        <v>228</v>
      </c>
      <c r="F91" s="29">
        <v>0</v>
      </c>
      <c r="G91" s="30" t="s">
        <v>11</v>
      </c>
      <c r="I91" s="29">
        <v>0</v>
      </c>
      <c r="J91" s="30" t="s">
        <v>11</v>
      </c>
    </row>
    <row r="92" spans="1:10" x14ac:dyDescent="0.3">
      <c r="A92" s="3" t="s">
        <v>229</v>
      </c>
      <c r="B92" s="4" t="s">
        <v>199</v>
      </c>
      <c r="E92" s="28" t="s">
        <v>230</v>
      </c>
      <c r="F92" s="29">
        <v>0.09</v>
      </c>
      <c r="G92" s="30" t="s">
        <v>11</v>
      </c>
      <c r="I92" s="29">
        <v>0.09</v>
      </c>
      <c r="J92" s="30" t="s">
        <v>11</v>
      </c>
    </row>
    <row r="93" spans="1:10" x14ac:dyDescent="0.3">
      <c r="A93" s="3" t="s">
        <v>231</v>
      </c>
      <c r="B93" s="4" t="s">
        <v>199</v>
      </c>
      <c r="E93" s="28" t="s">
        <v>232</v>
      </c>
      <c r="F93" s="29">
        <v>0.12</v>
      </c>
      <c r="G93" s="30" t="s">
        <v>11</v>
      </c>
      <c r="I93" s="29">
        <v>0.12</v>
      </c>
      <c r="J93" s="30" t="s">
        <v>11</v>
      </c>
    </row>
    <row r="94" spans="1:10" x14ac:dyDescent="0.3">
      <c r="A94" s="3" t="s">
        <v>233</v>
      </c>
      <c r="B94" s="4" t="s">
        <v>199</v>
      </c>
      <c r="E94" s="28" t="s">
        <v>234</v>
      </c>
      <c r="F94" s="29">
        <v>0.06</v>
      </c>
      <c r="G94" s="30" t="s">
        <v>11</v>
      </c>
      <c r="I94" s="29">
        <v>0.06</v>
      </c>
      <c r="J94" s="30" t="s">
        <v>11</v>
      </c>
    </row>
    <row r="95" spans="1:10" x14ac:dyDescent="0.3">
      <c r="A95" s="3" t="s">
        <v>235</v>
      </c>
      <c r="B95" s="4" t="s">
        <v>199</v>
      </c>
      <c r="E95" s="28" t="s">
        <v>236</v>
      </c>
      <c r="F95" s="29">
        <v>0</v>
      </c>
      <c r="G95" s="30" t="s">
        <v>11</v>
      </c>
      <c r="I95" s="29">
        <v>0</v>
      </c>
      <c r="J95" s="30" t="s">
        <v>11</v>
      </c>
    </row>
    <row r="96" spans="1:10" x14ac:dyDescent="0.3">
      <c r="A96" s="3" t="s">
        <v>237</v>
      </c>
      <c r="B96" s="4" t="s">
        <v>199</v>
      </c>
      <c r="E96" s="28" t="s">
        <v>238</v>
      </c>
      <c r="F96" s="29">
        <v>0.4</v>
      </c>
      <c r="G96" s="30" t="s">
        <v>11</v>
      </c>
      <c r="I96" s="29">
        <v>0.4</v>
      </c>
      <c r="J96" s="30" t="s">
        <v>11</v>
      </c>
    </row>
    <row r="97" spans="1:10" x14ac:dyDescent="0.3">
      <c r="A97" s="3" t="s">
        <v>239</v>
      </c>
      <c r="B97" s="4" t="s">
        <v>199</v>
      </c>
      <c r="E97" s="28" t="s">
        <v>240</v>
      </c>
      <c r="F97" s="29">
        <v>0</v>
      </c>
      <c r="G97" s="30" t="s">
        <v>11</v>
      </c>
      <c r="I97" s="29">
        <v>0</v>
      </c>
      <c r="J97" s="30" t="s">
        <v>11</v>
      </c>
    </row>
    <row r="98" spans="1:10" x14ac:dyDescent="0.3">
      <c r="A98" s="3" t="s">
        <v>241</v>
      </c>
      <c r="B98" s="4" t="s">
        <v>199</v>
      </c>
      <c r="E98" s="28" t="s">
        <v>242</v>
      </c>
      <c r="F98" s="29">
        <v>0.09</v>
      </c>
      <c r="G98" s="30" t="s">
        <v>11</v>
      </c>
      <c r="I98" s="29">
        <v>0.09</v>
      </c>
      <c r="J98" s="30" t="s">
        <v>11</v>
      </c>
    </row>
    <row r="99" spans="1:10" x14ac:dyDescent="0.3">
      <c r="A99" s="3" t="s">
        <v>243</v>
      </c>
      <c r="B99" s="4" t="s">
        <v>199</v>
      </c>
      <c r="E99" s="28" t="s">
        <v>244</v>
      </c>
      <c r="F99" s="29">
        <v>0.12</v>
      </c>
      <c r="G99" s="30" t="s">
        <v>11</v>
      </c>
      <c r="I99" s="29">
        <v>0.12</v>
      </c>
      <c r="J99" s="30" t="s">
        <v>11</v>
      </c>
    </row>
    <row r="100" spans="1:10" x14ac:dyDescent="0.3">
      <c r="A100" s="3" t="s">
        <v>245</v>
      </c>
      <c r="B100" s="4" t="s">
        <v>199</v>
      </c>
      <c r="E100" s="28" t="s">
        <v>246</v>
      </c>
      <c r="F100" s="29">
        <v>0.06</v>
      </c>
      <c r="G100" s="30" t="s">
        <v>11</v>
      </c>
      <c r="I100" s="29">
        <v>0.06</v>
      </c>
      <c r="J100" s="30" t="s">
        <v>11</v>
      </c>
    </row>
    <row r="101" spans="1:10" x14ac:dyDescent="0.3">
      <c r="A101" s="3" t="s">
        <v>247</v>
      </c>
      <c r="B101" s="4" t="s">
        <v>199</v>
      </c>
      <c r="E101" s="28" t="s">
        <v>248</v>
      </c>
      <c r="F101" s="29">
        <v>0</v>
      </c>
      <c r="G101" s="30" t="s">
        <v>11</v>
      </c>
      <c r="I101" s="29">
        <v>0</v>
      </c>
      <c r="J101" s="30" t="s">
        <v>11</v>
      </c>
    </row>
    <row r="102" spans="1:10" x14ac:dyDescent="0.3">
      <c r="A102" s="3" t="s">
        <v>249</v>
      </c>
      <c r="B102" s="4" t="s">
        <v>199</v>
      </c>
      <c r="E102" s="28" t="s">
        <v>250</v>
      </c>
      <c r="F102" s="29">
        <v>0.4</v>
      </c>
      <c r="G102" s="30" t="s">
        <v>11</v>
      </c>
      <c r="I102" s="29">
        <v>0.4</v>
      </c>
      <c r="J102" s="30" t="s">
        <v>11</v>
      </c>
    </row>
    <row r="103" spans="1:10" x14ac:dyDescent="0.3">
      <c r="A103" s="3" t="s">
        <v>251</v>
      </c>
      <c r="B103" s="4" t="s">
        <v>199</v>
      </c>
      <c r="E103" s="28" t="s">
        <v>252</v>
      </c>
      <c r="F103" s="29">
        <v>0</v>
      </c>
      <c r="G103" s="30" t="s">
        <v>11</v>
      </c>
      <c r="I103" s="29">
        <v>0</v>
      </c>
      <c r="J103" s="30" t="s">
        <v>11</v>
      </c>
    </row>
    <row r="104" spans="1:10" x14ac:dyDescent="0.3">
      <c r="A104" s="3" t="s">
        <v>253</v>
      </c>
      <c r="B104" s="4" t="s">
        <v>199</v>
      </c>
      <c r="E104" s="28" t="s">
        <v>254</v>
      </c>
      <c r="F104" s="29">
        <v>0.3</v>
      </c>
      <c r="G104" s="30" t="s">
        <v>11</v>
      </c>
      <c r="I104" s="29">
        <v>0.3</v>
      </c>
      <c r="J104" s="30" t="s">
        <v>11</v>
      </c>
    </row>
    <row r="105" spans="1:10" x14ac:dyDescent="0.3">
      <c r="A105" s="3" t="s">
        <v>255</v>
      </c>
      <c r="B105" s="4" t="s">
        <v>199</v>
      </c>
      <c r="E105" s="28" t="s">
        <v>256</v>
      </c>
      <c r="F105" s="29">
        <v>0.3</v>
      </c>
      <c r="G105" s="30" t="s">
        <v>11</v>
      </c>
      <c r="I105" s="29">
        <v>0.3</v>
      </c>
      <c r="J105" s="30" t="s">
        <v>11</v>
      </c>
    </row>
    <row r="106" spans="1:10" x14ac:dyDescent="0.3">
      <c r="A106" s="3" t="s">
        <v>257</v>
      </c>
      <c r="B106" s="4" t="s">
        <v>199</v>
      </c>
      <c r="E106" s="28" t="s">
        <v>258</v>
      </c>
      <c r="F106" s="29">
        <v>0</v>
      </c>
      <c r="G106" s="30" t="s">
        <v>11</v>
      </c>
      <c r="I106" s="29">
        <v>0</v>
      </c>
      <c r="J106" s="30" t="s">
        <v>11</v>
      </c>
    </row>
    <row r="107" spans="1:10" x14ac:dyDescent="0.3">
      <c r="A107" s="3" t="s">
        <v>259</v>
      </c>
      <c r="B107" s="4" t="s">
        <v>199</v>
      </c>
      <c r="E107" s="28" t="s">
        <v>260</v>
      </c>
      <c r="F107" s="29">
        <v>0.1</v>
      </c>
      <c r="G107" s="30" t="s">
        <v>11</v>
      </c>
      <c r="I107" s="29">
        <v>0.1</v>
      </c>
      <c r="J107" s="30" t="s">
        <v>11</v>
      </c>
    </row>
    <row r="108" spans="1:10" x14ac:dyDescent="0.3">
      <c r="A108" s="3" t="s">
        <v>261</v>
      </c>
      <c r="B108" s="4" t="s">
        <v>199</v>
      </c>
      <c r="E108" s="28" t="s">
        <v>262</v>
      </c>
      <c r="F108" s="29">
        <v>0.7</v>
      </c>
      <c r="G108" s="30" t="s">
        <v>11</v>
      </c>
      <c r="I108" s="29">
        <v>0.7</v>
      </c>
      <c r="J108" s="30" t="s">
        <v>11</v>
      </c>
    </row>
    <row r="109" spans="1:10" x14ac:dyDescent="0.3">
      <c r="A109" s="3" t="s">
        <v>263</v>
      </c>
      <c r="B109" s="4" t="s">
        <v>199</v>
      </c>
      <c r="E109" s="28" t="s">
        <v>264</v>
      </c>
      <c r="F109" s="29">
        <v>0.9</v>
      </c>
      <c r="G109" s="30" t="s">
        <v>11</v>
      </c>
      <c r="I109" s="29">
        <v>0.9</v>
      </c>
      <c r="J109" s="30" t="s">
        <v>11</v>
      </c>
    </row>
    <row r="110" spans="1:10" x14ac:dyDescent="0.3">
      <c r="A110" s="3" t="s">
        <v>265</v>
      </c>
      <c r="B110" s="4" t="s">
        <v>199</v>
      </c>
      <c r="E110" s="28" t="s">
        <v>266</v>
      </c>
      <c r="F110" s="29">
        <v>0.02</v>
      </c>
      <c r="G110" s="30" t="s">
        <v>11</v>
      </c>
      <c r="I110" s="29">
        <v>0.04</v>
      </c>
      <c r="J110" s="30" t="s">
        <v>11</v>
      </c>
    </row>
    <row r="111" spans="1:10" x14ac:dyDescent="0.3">
      <c r="A111" s="3" t="s">
        <v>267</v>
      </c>
      <c r="B111" s="4" t="s">
        <v>199</v>
      </c>
      <c r="E111" s="28" t="s">
        <v>268</v>
      </c>
      <c r="F111" s="31" t="s">
        <v>269</v>
      </c>
      <c r="G111" s="32" t="s">
        <v>16</v>
      </c>
      <c r="I111" s="31">
        <f>I112</f>
        <v>0.42412501530609525</v>
      </c>
      <c r="J111" s="32" t="s">
        <v>16</v>
      </c>
    </row>
    <row r="112" spans="1:10" x14ac:dyDescent="0.3">
      <c r="A112" s="3" t="s">
        <v>270</v>
      </c>
      <c r="B112" s="4" t="s">
        <v>199</v>
      </c>
      <c r="E112" s="28" t="s">
        <v>271</v>
      </c>
      <c r="F112" s="31" t="s">
        <v>269</v>
      </c>
      <c r="G112" s="32" t="s">
        <v>16</v>
      </c>
      <c r="I112" s="31">
        <f>I74+I72+I157+I185+I110</f>
        <v>0.42412501530609525</v>
      </c>
      <c r="J112" s="32" t="s">
        <v>16</v>
      </c>
    </row>
    <row r="113" spans="1:10" x14ac:dyDescent="0.3">
      <c r="A113" s="3" t="s">
        <v>272</v>
      </c>
      <c r="B113" s="4" t="s">
        <v>199</v>
      </c>
      <c r="E113" s="28" t="s">
        <v>273</v>
      </c>
      <c r="F113" s="31" t="s">
        <v>274</v>
      </c>
      <c r="G113" s="32" t="s">
        <v>16</v>
      </c>
      <c r="I113" s="31">
        <f>I185+I137+I193</f>
        <v>0.2132</v>
      </c>
      <c r="J113" s="32" t="s">
        <v>16</v>
      </c>
    </row>
    <row r="114" spans="1:10" x14ac:dyDescent="0.3">
      <c r="A114" s="3" t="s">
        <v>275</v>
      </c>
      <c r="B114" s="4" t="s">
        <v>199</v>
      </c>
      <c r="E114" s="28" t="s">
        <v>276</v>
      </c>
      <c r="F114" s="31" t="s">
        <v>277</v>
      </c>
      <c r="G114" s="32" t="s">
        <v>16</v>
      </c>
      <c r="I114" s="31">
        <f>I116</f>
        <v>0.29323809557890934</v>
      </c>
      <c r="J114" s="32" t="s">
        <v>16</v>
      </c>
    </row>
    <row r="115" spans="1:10" x14ac:dyDescent="0.3">
      <c r="A115" s="3" t="s">
        <v>278</v>
      </c>
      <c r="B115" s="4" t="s">
        <v>199</v>
      </c>
      <c r="E115" s="28" t="s">
        <v>279</v>
      </c>
      <c r="F115" s="31" t="s">
        <v>280</v>
      </c>
      <c r="G115" s="32" t="s">
        <v>16</v>
      </c>
      <c r="I115" s="31">
        <f>(I78*I43*I63)/I112</f>
        <v>3.4395432279498227E-2</v>
      </c>
      <c r="J115" s="32" t="s">
        <v>16</v>
      </c>
    </row>
    <row r="116" spans="1:10" x14ac:dyDescent="0.3">
      <c r="A116" s="3" t="s">
        <v>281</v>
      </c>
      <c r="B116" s="4" t="s">
        <v>199</v>
      </c>
      <c r="E116" s="28" t="s">
        <v>282</v>
      </c>
      <c r="F116" s="31" t="s">
        <v>277</v>
      </c>
      <c r="G116" s="32" t="s">
        <v>16</v>
      </c>
      <c r="I116" s="31">
        <f>SQRT((I115*0.5)*I80)</f>
        <v>0.29323809557890934</v>
      </c>
      <c r="J116" s="32" t="s">
        <v>16</v>
      </c>
    </row>
    <row r="117" spans="1:10" x14ac:dyDescent="0.3">
      <c r="A117" s="3" t="s">
        <v>283</v>
      </c>
      <c r="B117" s="4" t="s">
        <v>199</v>
      </c>
      <c r="E117" s="28" t="s">
        <v>284</v>
      </c>
      <c r="F117" s="31" t="s">
        <v>285</v>
      </c>
      <c r="G117" s="32" t="s">
        <v>16</v>
      </c>
      <c r="I117" s="31">
        <f>(2*I115)/(I116*(1+I82))</f>
        <v>0.12346867182269866</v>
      </c>
      <c r="J117" s="32" t="s">
        <v>16</v>
      </c>
    </row>
    <row r="118" spans="1:10" x14ac:dyDescent="0.3">
      <c r="A118" s="3" t="s">
        <v>286</v>
      </c>
      <c r="B118" s="4" t="s">
        <v>199</v>
      </c>
      <c r="E118" s="28" t="s">
        <v>287</v>
      </c>
      <c r="F118" s="31" t="s">
        <v>285</v>
      </c>
      <c r="G118" s="32" t="s">
        <v>16</v>
      </c>
      <c r="I118" s="31">
        <f>I117*I82</f>
        <v>0.1111218046404288</v>
      </c>
      <c r="J118" s="32" t="s">
        <v>16</v>
      </c>
    </row>
    <row r="119" spans="1:10" x14ac:dyDescent="0.3">
      <c r="A119" s="3" t="s">
        <v>288</v>
      </c>
      <c r="B119" s="4" t="s">
        <v>199</v>
      </c>
      <c r="E119" s="28" t="s">
        <v>289</v>
      </c>
      <c r="F119" s="33"/>
      <c r="G119" s="32" t="s">
        <v>16</v>
      </c>
      <c r="I119" s="31">
        <f>(I116/2)*TAN(RADIANS(I84))</f>
        <v>5.1200499709550913E-3</v>
      </c>
      <c r="J119" s="32" t="s">
        <v>16</v>
      </c>
    </row>
    <row r="120" spans="1:10" x14ac:dyDescent="0.3">
      <c r="A120" s="3" t="s">
        <v>290</v>
      </c>
      <c r="B120" s="4" t="s">
        <v>199</v>
      </c>
      <c r="E120" s="28" t="s">
        <v>291</v>
      </c>
      <c r="F120" s="33"/>
      <c r="G120" s="32" t="s">
        <v>16</v>
      </c>
      <c r="I120" s="31">
        <f>(2/3)*I117*((1+I82+I82^2)/(1+I82))</f>
        <v>0.11740354408403977</v>
      </c>
      <c r="J120" s="32" t="s">
        <v>16</v>
      </c>
    </row>
    <row r="121" spans="1:10" x14ac:dyDescent="0.3">
      <c r="A121" s="3" t="s">
        <v>292</v>
      </c>
      <c r="B121" s="4" t="s">
        <v>199</v>
      </c>
      <c r="E121" s="28" t="s">
        <v>293</v>
      </c>
      <c r="F121" s="33"/>
      <c r="G121" s="32" t="s">
        <v>16</v>
      </c>
      <c r="I121" s="31">
        <f>I120/4</f>
        <v>2.9350886021009943E-2</v>
      </c>
      <c r="J121" s="32" t="s">
        <v>16</v>
      </c>
    </row>
    <row r="122" spans="1:10" x14ac:dyDescent="0.3">
      <c r="A122" s="3" t="s">
        <v>294</v>
      </c>
      <c r="B122" s="4" t="s">
        <v>199</v>
      </c>
      <c r="E122" s="28" t="s">
        <v>295</v>
      </c>
      <c r="F122" s="33"/>
      <c r="G122" s="32" t="s">
        <v>16</v>
      </c>
      <c r="I122" s="31">
        <f>(I116/3)*((1+2*I82)/(1+I82))</f>
        <v>0.14404678379314845</v>
      </c>
      <c r="J122" s="32" t="s">
        <v>16</v>
      </c>
    </row>
    <row r="123" spans="1:10" x14ac:dyDescent="0.3">
      <c r="A123" s="3" t="s">
        <v>296</v>
      </c>
      <c r="B123" s="4" t="s">
        <v>199</v>
      </c>
      <c r="E123" s="28" t="s">
        <v>297</v>
      </c>
      <c r="F123" s="33"/>
      <c r="G123" s="32" t="s">
        <v>16</v>
      </c>
      <c r="I123" s="31">
        <f>TAN(RADIANS(I84))*I122</f>
        <v>5.03022453286816E-3</v>
      </c>
      <c r="J123" s="32" t="s">
        <v>16</v>
      </c>
    </row>
    <row r="124" spans="1:10" x14ac:dyDescent="0.3">
      <c r="A124" s="3" t="s">
        <v>298</v>
      </c>
      <c r="B124" s="4" t="s">
        <v>199</v>
      </c>
      <c r="E124" s="28" t="s">
        <v>299</v>
      </c>
      <c r="F124" s="31" t="s">
        <v>300</v>
      </c>
      <c r="G124" s="32" t="s">
        <v>16</v>
      </c>
      <c r="I124" s="31">
        <f>I125^2/I79</f>
        <v>2.272712E-2</v>
      </c>
      <c r="J124" s="32" t="s">
        <v>16</v>
      </c>
    </row>
    <row r="125" spans="1:10" x14ac:dyDescent="0.3">
      <c r="A125" s="3" t="s">
        <v>301</v>
      </c>
      <c r="B125" s="4" t="s">
        <v>199</v>
      </c>
      <c r="E125" s="28" t="s">
        <v>302</v>
      </c>
      <c r="F125" s="31" t="s">
        <v>303</v>
      </c>
      <c r="G125" s="32" t="s">
        <v>16</v>
      </c>
      <c r="I125" s="31">
        <f>2*I113</f>
        <v>0.4264</v>
      </c>
      <c r="J125" s="32" t="s">
        <v>16</v>
      </c>
    </row>
    <row r="126" spans="1:10" x14ac:dyDescent="0.3">
      <c r="A126" s="3" t="s">
        <v>304</v>
      </c>
      <c r="B126" s="4" t="s">
        <v>199</v>
      </c>
      <c r="E126" s="28" t="s">
        <v>305</v>
      </c>
      <c r="F126" s="31" t="s">
        <v>285</v>
      </c>
      <c r="G126" s="32" t="s">
        <v>16</v>
      </c>
      <c r="I126" s="31">
        <f>I127/I81</f>
        <v>0.15433583977837331</v>
      </c>
      <c r="J126" s="32" t="s">
        <v>16</v>
      </c>
    </row>
    <row r="127" spans="1:10" x14ac:dyDescent="0.3">
      <c r="A127" s="3" t="s">
        <v>306</v>
      </c>
      <c r="B127" s="4" t="s">
        <v>199</v>
      </c>
      <c r="E127" s="28" t="s">
        <v>307</v>
      </c>
      <c r="F127" s="31" t="s">
        <v>285</v>
      </c>
      <c r="G127" s="32" t="s">
        <v>16</v>
      </c>
      <c r="I127" s="31">
        <f>I117</f>
        <v>0.12346867182269866</v>
      </c>
      <c r="J127" s="32" t="s">
        <v>16</v>
      </c>
    </row>
    <row r="128" spans="1:10" x14ac:dyDescent="0.3">
      <c r="A128" s="3" t="s">
        <v>308</v>
      </c>
      <c r="B128" s="4" t="s">
        <v>199</v>
      </c>
      <c r="E128" s="28" t="s">
        <v>309</v>
      </c>
      <c r="F128" s="33"/>
      <c r="G128" s="32" t="s">
        <v>16</v>
      </c>
      <c r="I128" s="31">
        <f>(I125/2)*TAN(RADIANS(I83))</f>
        <v>7.445108055640616E-3</v>
      </c>
      <c r="J128" s="32" t="s">
        <v>16</v>
      </c>
    </row>
    <row r="129" spans="1:10" x14ac:dyDescent="0.3">
      <c r="A129" s="3" t="s">
        <v>310</v>
      </c>
      <c r="B129" s="4" t="s">
        <v>199</v>
      </c>
      <c r="E129" s="28" t="s">
        <v>311</v>
      </c>
      <c r="F129" s="33"/>
      <c r="G129" s="32" t="s">
        <v>16</v>
      </c>
      <c r="I129" s="31">
        <f>(2/3)*I126*((1+I81+I81^2)/(1+I81))</f>
        <v>0.1394738700219374</v>
      </c>
      <c r="J129" s="32" t="s">
        <v>16</v>
      </c>
    </row>
    <row r="130" spans="1:10" x14ac:dyDescent="0.3">
      <c r="A130" s="3" t="s">
        <v>312</v>
      </c>
      <c r="B130" s="4" t="s">
        <v>199</v>
      </c>
      <c r="E130" s="28" t="s">
        <v>313</v>
      </c>
      <c r="F130" s="33"/>
      <c r="G130" s="32" t="s">
        <v>16</v>
      </c>
      <c r="I130" s="31">
        <f>I129/4</f>
        <v>3.4868467505484349E-2</v>
      </c>
      <c r="J130" s="32" t="s">
        <v>16</v>
      </c>
    </row>
    <row r="131" spans="1:10" x14ac:dyDescent="0.3">
      <c r="A131" s="3" t="s">
        <v>314</v>
      </c>
      <c r="B131" s="4" t="s">
        <v>199</v>
      </c>
      <c r="E131" s="28" t="s">
        <v>315</v>
      </c>
      <c r="F131" s="33"/>
      <c r="G131" s="32" t="s">
        <v>16</v>
      </c>
      <c r="I131" s="31">
        <f>(I125/6)*((1+2*I81)/(1+I81))</f>
        <v>0.10265185185185186</v>
      </c>
      <c r="J131" s="32" t="s">
        <v>16</v>
      </c>
    </row>
    <row r="132" spans="1:10" x14ac:dyDescent="0.3">
      <c r="A132" s="3" t="s">
        <v>316</v>
      </c>
      <c r="B132" s="4" t="s">
        <v>199</v>
      </c>
      <c r="E132" s="28" t="s">
        <v>317</v>
      </c>
      <c r="F132" s="33"/>
      <c r="G132" s="32" t="s">
        <v>16</v>
      </c>
      <c r="I132" s="31">
        <f>TAN(RADIANS(I83))*I131</f>
        <v>3.584681656419556E-3</v>
      </c>
      <c r="J132" s="32" t="s">
        <v>16</v>
      </c>
    </row>
    <row r="133" spans="1:10" s="10" customFormat="1" x14ac:dyDescent="0.3">
      <c r="A133" s="9"/>
      <c r="B133" s="9"/>
      <c r="F133" s="11"/>
      <c r="H133" s="25"/>
      <c r="I133" s="11"/>
    </row>
    <row r="134" spans="1:10" x14ac:dyDescent="0.3">
      <c r="A134" s="3" t="s">
        <v>318</v>
      </c>
      <c r="B134" s="4" t="s">
        <v>319</v>
      </c>
      <c r="E134" t="s">
        <v>320</v>
      </c>
      <c r="F134" s="2">
        <v>0.7</v>
      </c>
      <c r="G134" s="1" t="s">
        <v>11</v>
      </c>
      <c r="I134" s="2">
        <v>1</v>
      </c>
      <c r="J134" s="26" t="s">
        <v>11</v>
      </c>
    </row>
    <row r="135" spans="1:10" x14ac:dyDescent="0.3">
      <c r="A135" s="3" t="s">
        <v>321</v>
      </c>
      <c r="B135" s="4" t="s">
        <v>319</v>
      </c>
      <c r="E135" t="s">
        <v>322</v>
      </c>
      <c r="F135" s="2">
        <v>0.1</v>
      </c>
      <c r="G135" s="1" t="s">
        <v>11</v>
      </c>
      <c r="I135" s="2">
        <v>0.1</v>
      </c>
      <c r="J135" s="1" t="s">
        <v>11</v>
      </c>
    </row>
    <row r="136" spans="1:10" x14ac:dyDescent="0.3">
      <c r="A136" s="3" t="s">
        <v>323</v>
      </c>
      <c r="B136" s="4" t="s">
        <v>319</v>
      </c>
      <c r="E136" t="s">
        <v>324</v>
      </c>
      <c r="F136" s="2" t="s">
        <v>325</v>
      </c>
      <c r="G136" s="1" t="s">
        <v>11</v>
      </c>
      <c r="I136" s="2" t="s">
        <v>325</v>
      </c>
      <c r="J136" s="1" t="s">
        <v>11</v>
      </c>
    </row>
    <row r="137" spans="1:10" x14ac:dyDescent="0.3">
      <c r="A137" s="3" t="s">
        <v>326</v>
      </c>
      <c r="B137" s="4" t="s">
        <v>319</v>
      </c>
      <c r="E137" t="s">
        <v>327</v>
      </c>
      <c r="F137" s="2" t="s">
        <v>325</v>
      </c>
      <c r="G137" s="1" t="s">
        <v>11</v>
      </c>
      <c r="I137" s="2" t="s">
        <v>325</v>
      </c>
      <c r="J137" s="1" t="s">
        <v>11</v>
      </c>
    </row>
    <row r="138" spans="1:10" x14ac:dyDescent="0.3">
      <c r="A138" s="3" t="s">
        <v>328</v>
      </c>
      <c r="B138" s="4" t="s">
        <v>319</v>
      </c>
      <c r="E138" t="s">
        <v>329</v>
      </c>
      <c r="F138" s="2" t="s">
        <v>144</v>
      </c>
      <c r="G138" s="1" t="s">
        <v>11</v>
      </c>
      <c r="I138" s="13"/>
      <c r="J138" s="19" t="s">
        <v>39</v>
      </c>
    </row>
    <row r="139" spans="1:10" x14ac:dyDescent="0.3">
      <c r="A139" s="3" t="s">
        <v>330</v>
      </c>
      <c r="B139" s="4" t="s">
        <v>319</v>
      </c>
      <c r="E139" t="s">
        <v>331</v>
      </c>
      <c r="F139" s="12"/>
      <c r="G139" s="23" t="s">
        <v>16</v>
      </c>
      <c r="I139" s="13"/>
      <c r="J139" s="19" t="s">
        <v>39</v>
      </c>
    </row>
    <row r="140" spans="1:10" x14ac:dyDescent="0.3">
      <c r="A140" s="3" t="s">
        <v>332</v>
      </c>
      <c r="B140" s="4" t="s">
        <v>319</v>
      </c>
      <c r="E140" t="s">
        <v>333</v>
      </c>
      <c r="F140" s="12"/>
      <c r="G140" s="23" t="s">
        <v>16</v>
      </c>
      <c r="I140" s="13"/>
      <c r="J140" s="19" t="s">
        <v>39</v>
      </c>
    </row>
    <row r="141" spans="1:10" x14ac:dyDescent="0.3">
      <c r="A141" s="3" t="s">
        <v>334</v>
      </c>
      <c r="B141" s="4" t="s">
        <v>319</v>
      </c>
      <c r="E141" t="s">
        <v>335</v>
      </c>
      <c r="F141" s="2" t="s">
        <v>336</v>
      </c>
      <c r="G141" s="1" t="s">
        <v>11</v>
      </c>
      <c r="I141" s="13"/>
      <c r="J141" s="19" t="s">
        <v>39</v>
      </c>
    </row>
    <row r="142" spans="1:10" x14ac:dyDescent="0.3">
      <c r="A142" s="3" t="s">
        <v>337</v>
      </c>
      <c r="B142" s="4" t="s">
        <v>319</v>
      </c>
      <c r="E142" t="s">
        <v>338</v>
      </c>
      <c r="F142" s="2" t="s">
        <v>339</v>
      </c>
      <c r="G142" s="1" t="s">
        <v>11</v>
      </c>
      <c r="I142" s="13"/>
      <c r="J142" s="19" t="s">
        <v>39</v>
      </c>
    </row>
    <row r="143" spans="1:10" x14ac:dyDescent="0.3">
      <c r="A143" s="3" t="s">
        <v>340</v>
      </c>
      <c r="B143" s="4" t="s">
        <v>319</v>
      </c>
      <c r="E143" t="s">
        <v>341</v>
      </c>
      <c r="F143" s="2" t="s">
        <v>141</v>
      </c>
      <c r="G143" s="1" t="s">
        <v>11</v>
      </c>
      <c r="I143" s="13"/>
      <c r="J143" s="19" t="s">
        <v>39</v>
      </c>
    </row>
    <row r="144" spans="1:10" x14ac:dyDescent="0.3">
      <c r="A144" s="3" t="s">
        <v>342</v>
      </c>
      <c r="B144" s="4" t="s">
        <v>319</v>
      </c>
      <c r="E144" t="s">
        <v>343</v>
      </c>
      <c r="F144" s="2" t="s">
        <v>344</v>
      </c>
      <c r="G144" s="1" t="s">
        <v>11</v>
      </c>
      <c r="I144" s="13"/>
      <c r="J144" s="19" t="s">
        <v>39</v>
      </c>
    </row>
    <row r="145" spans="1:10" x14ac:dyDescent="0.3">
      <c r="A145" s="3" t="s">
        <v>345</v>
      </c>
      <c r="B145" s="4" t="s">
        <v>319</v>
      </c>
      <c r="E145" t="s">
        <v>346</v>
      </c>
      <c r="F145" s="2" t="s">
        <v>336</v>
      </c>
      <c r="G145" s="1" t="s">
        <v>11</v>
      </c>
      <c r="I145" s="13"/>
      <c r="J145" s="19" t="s">
        <v>39</v>
      </c>
    </row>
    <row r="146" spans="1:10" x14ac:dyDescent="0.3">
      <c r="A146" s="3" t="s">
        <v>347</v>
      </c>
      <c r="B146" s="4" t="s">
        <v>319</v>
      </c>
      <c r="E146" t="s">
        <v>348</v>
      </c>
      <c r="F146" s="2" t="s">
        <v>336</v>
      </c>
      <c r="G146" s="1" t="s">
        <v>11</v>
      </c>
      <c r="I146" s="13"/>
      <c r="J146" s="19" t="s">
        <v>39</v>
      </c>
    </row>
    <row r="147" spans="1:10" x14ac:dyDescent="0.3">
      <c r="A147" s="3" t="s">
        <v>349</v>
      </c>
      <c r="B147" s="4" t="s">
        <v>319</v>
      </c>
      <c r="E147" t="s">
        <v>350</v>
      </c>
      <c r="F147" s="2" t="s">
        <v>336</v>
      </c>
      <c r="G147" s="1" t="s">
        <v>11</v>
      </c>
      <c r="I147" s="13"/>
      <c r="J147" s="19" t="s">
        <v>39</v>
      </c>
    </row>
    <row r="148" spans="1:10" x14ac:dyDescent="0.3">
      <c r="A148" s="3" t="s">
        <v>351</v>
      </c>
      <c r="B148" s="4" t="s">
        <v>319</v>
      </c>
      <c r="E148" t="s">
        <v>352</v>
      </c>
      <c r="F148" s="2" t="s">
        <v>336</v>
      </c>
      <c r="G148" s="1" t="s">
        <v>11</v>
      </c>
      <c r="I148" s="13"/>
      <c r="J148" s="19" t="s">
        <v>39</v>
      </c>
    </row>
    <row r="149" spans="1:10" x14ac:dyDescent="0.3">
      <c r="A149" s="3" t="s">
        <v>353</v>
      </c>
      <c r="B149" s="4" t="s">
        <v>319</v>
      </c>
      <c r="E149" t="s">
        <v>354</v>
      </c>
      <c r="F149" s="2" t="s">
        <v>355</v>
      </c>
      <c r="G149" s="1" t="s">
        <v>11</v>
      </c>
      <c r="I149" s="13"/>
      <c r="J149" s="19" t="s">
        <v>39</v>
      </c>
    </row>
    <row r="150" spans="1:10" x14ac:dyDescent="0.3">
      <c r="A150" s="3" t="s">
        <v>356</v>
      </c>
      <c r="B150" s="4" t="s">
        <v>319</v>
      </c>
      <c r="E150" t="s">
        <v>357</v>
      </c>
      <c r="F150" s="2" t="s">
        <v>339</v>
      </c>
      <c r="G150" s="1" t="s">
        <v>11</v>
      </c>
      <c r="I150" s="13"/>
      <c r="J150" s="19" t="s">
        <v>39</v>
      </c>
    </row>
    <row r="151" spans="1:10" x14ac:dyDescent="0.3">
      <c r="A151" s="3" t="s">
        <v>358</v>
      </c>
      <c r="B151" s="4" t="s">
        <v>319</v>
      </c>
      <c r="E151" t="s">
        <v>359</v>
      </c>
      <c r="F151" s="2" t="s">
        <v>339</v>
      </c>
      <c r="G151" s="1" t="s">
        <v>11</v>
      </c>
      <c r="I151" s="13"/>
      <c r="J151" s="19" t="s">
        <v>39</v>
      </c>
    </row>
    <row r="152" spans="1:10" x14ac:dyDescent="0.3">
      <c r="A152" s="3" t="s">
        <v>360</v>
      </c>
      <c r="B152" s="4" t="s">
        <v>319</v>
      </c>
      <c r="E152" t="s">
        <v>361</v>
      </c>
      <c r="F152" s="2" t="s">
        <v>138</v>
      </c>
      <c r="G152" s="1" t="s">
        <v>11</v>
      </c>
      <c r="I152" s="13"/>
      <c r="J152" s="19" t="s">
        <v>39</v>
      </c>
    </row>
    <row r="153" spans="1:10" x14ac:dyDescent="0.3">
      <c r="A153" s="3" t="s">
        <v>362</v>
      </c>
      <c r="B153" s="4" t="s">
        <v>319</v>
      </c>
      <c r="E153" t="s">
        <v>363</v>
      </c>
      <c r="F153" s="2" t="s">
        <v>138</v>
      </c>
      <c r="G153" s="1" t="s">
        <v>11</v>
      </c>
      <c r="I153" s="13"/>
      <c r="J153" s="19" t="s">
        <v>39</v>
      </c>
    </row>
    <row r="154" spans="1:10" x14ac:dyDescent="0.3">
      <c r="A154" s="3" t="s">
        <v>364</v>
      </c>
      <c r="B154" s="4" t="s">
        <v>319</v>
      </c>
      <c r="E154" t="s">
        <v>365</v>
      </c>
      <c r="F154" s="2" t="s">
        <v>366</v>
      </c>
      <c r="G154" s="1" t="s">
        <v>11</v>
      </c>
      <c r="I154" s="13"/>
      <c r="J154" s="19" t="s">
        <v>39</v>
      </c>
    </row>
    <row r="155" spans="1:10" x14ac:dyDescent="0.3">
      <c r="A155" s="3" t="s">
        <v>367</v>
      </c>
      <c r="B155" s="4" t="s">
        <v>319</v>
      </c>
      <c r="E155" t="s">
        <v>368</v>
      </c>
      <c r="F155" s="2" t="s">
        <v>366</v>
      </c>
      <c r="G155" s="1" t="s">
        <v>11</v>
      </c>
      <c r="I155" s="13"/>
      <c r="J155" s="19" t="s">
        <v>39</v>
      </c>
    </row>
    <row r="156" spans="1:10" x14ac:dyDescent="0.3">
      <c r="A156" s="3" t="s">
        <v>369</v>
      </c>
      <c r="B156" s="4" t="s">
        <v>319</v>
      </c>
      <c r="E156" t="s">
        <v>370</v>
      </c>
      <c r="F156" s="2" t="s">
        <v>371</v>
      </c>
      <c r="G156" s="1" t="s">
        <v>11</v>
      </c>
      <c r="I156" s="13"/>
      <c r="J156" s="19" t="s">
        <v>39</v>
      </c>
    </row>
    <row r="157" spans="1:10" x14ac:dyDescent="0.3">
      <c r="A157" s="3" t="s">
        <v>372</v>
      </c>
      <c r="B157" s="4" t="s">
        <v>319</v>
      </c>
      <c r="E157" t="s">
        <v>373</v>
      </c>
      <c r="F157" s="12"/>
      <c r="G157" s="23" t="s">
        <v>16</v>
      </c>
      <c r="I157" s="12">
        <f>(I71-I72)+I137+I185</f>
        <v>0.24108594459857474</v>
      </c>
      <c r="J157" s="23" t="s">
        <v>16</v>
      </c>
    </row>
    <row r="158" spans="1:10" s="10" customFormat="1" x14ac:dyDescent="0.3">
      <c r="A158" s="9"/>
      <c r="B158" s="9"/>
      <c r="F158" s="11"/>
      <c r="H158" s="25"/>
      <c r="I158" s="11"/>
    </row>
    <row r="159" spans="1:10" x14ac:dyDescent="0.3">
      <c r="A159" s="3" t="s">
        <v>374</v>
      </c>
      <c r="B159" s="4" t="s">
        <v>375</v>
      </c>
      <c r="E159" t="s">
        <v>376</v>
      </c>
      <c r="F159" s="13"/>
      <c r="G159" t="s">
        <v>117</v>
      </c>
      <c r="I159" s="16" t="s">
        <v>377</v>
      </c>
      <c r="J159" s="1" t="s">
        <v>378</v>
      </c>
    </row>
    <row r="160" spans="1:10" x14ac:dyDescent="0.3">
      <c r="A160" s="3" t="s">
        <v>379</v>
      </c>
      <c r="B160" s="4" t="s">
        <v>375</v>
      </c>
      <c r="E160" t="s">
        <v>380</v>
      </c>
      <c r="F160" s="2" t="s">
        <v>381</v>
      </c>
      <c r="G160" s="1" t="s">
        <v>11</v>
      </c>
      <c r="I160" s="13"/>
      <c r="J160" t="s">
        <v>39</v>
      </c>
    </row>
    <row r="161" spans="1:10" x14ac:dyDescent="0.3">
      <c r="A161" s="3" t="s">
        <v>382</v>
      </c>
      <c r="B161" s="4" t="s">
        <v>375</v>
      </c>
      <c r="E161" t="s">
        <v>383</v>
      </c>
      <c r="F161" s="2" t="s">
        <v>141</v>
      </c>
      <c r="G161" s="1" t="s">
        <v>11</v>
      </c>
      <c r="I161" s="13"/>
      <c r="J161" t="s">
        <v>39</v>
      </c>
    </row>
    <row r="162" spans="1:10" x14ac:dyDescent="0.3">
      <c r="A162" s="3" t="s">
        <v>384</v>
      </c>
      <c r="B162" s="4" t="s">
        <v>375</v>
      </c>
      <c r="E162" t="s">
        <v>385</v>
      </c>
      <c r="F162" s="12" t="s">
        <v>386</v>
      </c>
      <c r="G162" s="23" t="s">
        <v>16</v>
      </c>
      <c r="I162" s="2">
        <v>0.88800000000000001</v>
      </c>
      <c r="J162" s="1" t="s">
        <v>378</v>
      </c>
    </row>
    <row r="163" spans="1:10" x14ac:dyDescent="0.3">
      <c r="A163" s="3" t="s">
        <v>387</v>
      </c>
      <c r="B163" s="4" t="s">
        <v>375</v>
      </c>
      <c r="E163" t="s">
        <v>388</v>
      </c>
      <c r="F163" s="12" t="s">
        <v>389</v>
      </c>
      <c r="G163" s="23" t="s">
        <v>16</v>
      </c>
      <c r="I163" s="13"/>
      <c r="J163" t="s">
        <v>39</v>
      </c>
    </row>
    <row r="164" spans="1:10" x14ac:dyDescent="0.3">
      <c r="A164" s="3" t="s">
        <v>390</v>
      </c>
      <c r="B164" s="4" t="s">
        <v>375</v>
      </c>
      <c r="E164" t="s">
        <v>391</v>
      </c>
      <c r="F164" s="12" t="s">
        <v>48</v>
      </c>
      <c r="G164" s="23" t="s">
        <v>16</v>
      </c>
      <c r="I164" s="2">
        <f>22.2*6.2</f>
        <v>137.63999999999999</v>
      </c>
      <c r="J164" s="1" t="s">
        <v>378</v>
      </c>
    </row>
    <row r="165" spans="1:10" x14ac:dyDescent="0.3">
      <c r="A165" s="3" t="s">
        <v>392</v>
      </c>
      <c r="B165" s="4" t="s">
        <v>375</v>
      </c>
      <c r="E165" t="s">
        <v>393</v>
      </c>
      <c r="F165" s="13"/>
      <c r="G165" t="s">
        <v>117</v>
      </c>
      <c r="I165" s="2">
        <v>160</v>
      </c>
      <c r="J165" s="1" t="s">
        <v>378</v>
      </c>
    </row>
    <row r="166" spans="1:10" x14ac:dyDescent="0.3">
      <c r="A166" s="3" t="s">
        <v>394</v>
      </c>
      <c r="B166" s="4" t="s">
        <v>375</v>
      </c>
      <c r="E166" t="s">
        <v>395</v>
      </c>
      <c r="F166" s="13"/>
      <c r="G166" t="s">
        <v>117</v>
      </c>
      <c r="I166" s="2">
        <v>50</v>
      </c>
      <c r="J166" s="1" t="s">
        <v>378</v>
      </c>
    </row>
    <row r="167" spans="1:10" x14ac:dyDescent="0.3">
      <c r="A167" s="3" t="s">
        <v>396</v>
      </c>
      <c r="B167" s="4" t="s">
        <v>375</v>
      </c>
      <c r="E167" t="s">
        <v>397</v>
      </c>
      <c r="F167" s="13"/>
      <c r="G167" t="s">
        <v>117</v>
      </c>
      <c r="I167" s="2">
        <v>54</v>
      </c>
      <c r="J167" s="1" t="s">
        <v>378</v>
      </c>
    </row>
    <row r="168" spans="1:10" x14ac:dyDescent="0.3">
      <c r="A168" s="3" t="s">
        <v>398</v>
      </c>
      <c r="B168" s="4" t="s">
        <v>375</v>
      </c>
      <c r="E168" t="s">
        <v>399</v>
      </c>
      <c r="F168" s="13"/>
      <c r="G168" t="s">
        <v>117</v>
      </c>
      <c r="I168" s="2">
        <v>127.8</v>
      </c>
      <c r="J168" s="1" t="s">
        <v>378</v>
      </c>
    </row>
    <row r="169" spans="1:10" s="10" customFormat="1" x14ac:dyDescent="0.3">
      <c r="A169" s="9"/>
      <c r="B169" s="9"/>
      <c r="F169" s="11"/>
      <c r="H169" s="25"/>
      <c r="I169" s="11"/>
    </row>
    <row r="170" spans="1:10" x14ac:dyDescent="0.3">
      <c r="A170" s="3" t="s">
        <v>400</v>
      </c>
      <c r="B170" s="4" t="s">
        <v>401</v>
      </c>
      <c r="E170" t="s">
        <v>402</v>
      </c>
      <c r="F170" s="13"/>
      <c r="G170" t="s">
        <v>117</v>
      </c>
      <c r="I170" s="17" t="s">
        <v>377</v>
      </c>
      <c r="J170" s="1" t="s">
        <v>378</v>
      </c>
    </row>
    <row r="171" spans="1:10" x14ac:dyDescent="0.3">
      <c r="A171" s="3" t="s">
        <v>403</v>
      </c>
      <c r="B171" s="4" t="s">
        <v>401</v>
      </c>
      <c r="E171" t="s">
        <v>404</v>
      </c>
      <c r="F171" s="12" t="s">
        <v>405</v>
      </c>
      <c r="G171" s="23" t="s">
        <v>16</v>
      </c>
      <c r="I171" s="2">
        <v>4.6600000000000003E-2</v>
      </c>
      <c r="J171" s="1" t="s">
        <v>378</v>
      </c>
    </row>
    <row r="172" spans="1:10" x14ac:dyDescent="0.3">
      <c r="A172" s="3" t="s">
        <v>406</v>
      </c>
      <c r="B172" s="4" t="s">
        <v>401</v>
      </c>
      <c r="E172" t="s">
        <v>407</v>
      </c>
      <c r="F172" s="2">
        <v>0.9</v>
      </c>
      <c r="G172" s="1" t="s">
        <v>11</v>
      </c>
      <c r="I172" s="13"/>
      <c r="J172" t="s">
        <v>39</v>
      </c>
    </row>
    <row r="173" spans="1:10" x14ac:dyDescent="0.3">
      <c r="A173" s="3" t="s">
        <v>408</v>
      </c>
      <c r="B173" s="4" t="s">
        <v>401</v>
      </c>
      <c r="E173" t="s">
        <v>409</v>
      </c>
      <c r="F173" s="2" t="s">
        <v>410</v>
      </c>
      <c r="G173" s="1" t="s">
        <v>11</v>
      </c>
      <c r="I173" s="13"/>
      <c r="J173" t="s">
        <v>39</v>
      </c>
    </row>
    <row r="174" spans="1:10" x14ac:dyDescent="0.3">
      <c r="A174" s="3" t="s">
        <v>411</v>
      </c>
      <c r="B174" s="4" t="s">
        <v>401</v>
      </c>
      <c r="E174" t="s">
        <v>412</v>
      </c>
      <c r="F174" s="12" t="s">
        <v>413</v>
      </c>
      <c r="G174" s="23" t="s">
        <v>16</v>
      </c>
      <c r="I174" s="2">
        <v>1059</v>
      </c>
      <c r="J174" s="1" t="s">
        <v>378</v>
      </c>
    </row>
    <row r="175" spans="1:10" x14ac:dyDescent="0.3">
      <c r="A175" s="3" t="s">
        <v>414</v>
      </c>
      <c r="B175" s="4" t="s">
        <v>401</v>
      </c>
      <c r="E175" t="s">
        <v>415</v>
      </c>
      <c r="F175" s="13"/>
      <c r="G175" t="s">
        <v>117</v>
      </c>
      <c r="I175" s="2">
        <v>75.56</v>
      </c>
      <c r="J175" s="1" t="s">
        <v>378</v>
      </c>
    </row>
    <row r="176" spans="1:10" s="10" customFormat="1" x14ac:dyDescent="0.3">
      <c r="A176" s="9"/>
      <c r="B176" s="9"/>
      <c r="F176" s="11"/>
      <c r="H176" s="25"/>
      <c r="I176" s="11"/>
    </row>
    <row r="177" spans="1:10" x14ac:dyDescent="0.3">
      <c r="A177" s="3" t="s">
        <v>416</v>
      </c>
      <c r="B177" s="4" t="s">
        <v>417</v>
      </c>
      <c r="E177" t="s">
        <v>418</v>
      </c>
      <c r="F177" s="13"/>
      <c r="G177" t="s">
        <v>117</v>
      </c>
      <c r="I177" s="17" t="s">
        <v>377</v>
      </c>
      <c r="J177" s="1" t="s">
        <v>378</v>
      </c>
    </row>
    <row r="178" spans="1:10" x14ac:dyDescent="0.3">
      <c r="A178" s="3" t="s">
        <v>419</v>
      </c>
      <c r="B178" s="4" t="s">
        <v>417</v>
      </c>
      <c r="E178" t="s">
        <v>420</v>
      </c>
      <c r="F178" s="12" t="s">
        <v>421</v>
      </c>
      <c r="G178" s="23" t="s">
        <v>16</v>
      </c>
      <c r="I178" s="2">
        <v>7.6499999999999999E-2</v>
      </c>
      <c r="J178" s="1" t="s">
        <v>378</v>
      </c>
    </row>
    <row r="179" spans="1:10" x14ac:dyDescent="0.3">
      <c r="A179" s="3" t="s">
        <v>422</v>
      </c>
      <c r="B179" s="4" t="s">
        <v>417</v>
      </c>
      <c r="E179" t="s">
        <v>423</v>
      </c>
      <c r="F179" s="2">
        <v>0.9</v>
      </c>
      <c r="G179" s="1" t="s">
        <v>11</v>
      </c>
      <c r="I179" s="13"/>
      <c r="J179" t="s">
        <v>39</v>
      </c>
    </row>
    <row r="180" spans="1:10" x14ac:dyDescent="0.3">
      <c r="A180" s="3" t="s">
        <v>424</v>
      </c>
      <c r="B180" s="4" t="s">
        <v>417</v>
      </c>
      <c r="E180" t="s">
        <v>425</v>
      </c>
      <c r="F180" s="2" t="s">
        <v>410</v>
      </c>
      <c r="G180" s="1" t="s">
        <v>11</v>
      </c>
      <c r="I180" s="13"/>
      <c r="J180" t="s">
        <v>39</v>
      </c>
    </row>
    <row r="181" spans="1:10" x14ac:dyDescent="0.3">
      <c r="A181" s="3" t="s">
        <v>426</v>
      </c>
      <c r="B181" s="4" t="s">
        <v>417</v>
      </c>
      <c r="E181" t="s">
        <v>427</v>
      </c>
      <c r="F181" s="12" t="s">
        <v>428</v>
      </c>
      <c r="G181" s="23" t="s">
        <v>16</v>
      </c>
      <c r="I181" s="2">
        <v>1291.6500000000001</v>
      </c>
      <c r="J181" s="1" t="s">
        <v>378</v>
      </c>
    </row>
    <row r="182" spans="1:10" x14ac:dyDescent="0.3">
      <c r="A182" s="3" t="s">
        <v>429</v>
      </c>
      <c r="B182" s="4" t="s">
        <v>417</v>
      </c>
      <c r="E182" t="s">
        <v>430</v>
      </c>
      <c r="F182" s="13"/>
      <c r="G182" t="s">
        <v>117</v>
      </c>
      <c r="I182" s="2">
        <v>65.81</v>
      </c>
      <c r="J182" s="1" t="s">
        <v>378</v>
      </c>
    </row>
    <row r="183" spans="1:10" s="10" customFormat="1" x14ac:dyDescent="0.3">
      <c r="A183" s="9"/>
      <c r="B183" s="9"/>
      <c r="F183" s="11"/>
      <c r="H183" s="25"/>
      <c r="I183" s="11"/>
    </row>
    <row r="184" spans="1:10" x14ac:dyDescent="0.3">
      <c r="A184" s="3" t="s">
        <v>431</v>
      </c>
      <c r="B184" s="4" t="s">
        <v>432</v>
      </c>
      <c r="E184" t="s">
        <v>433</v>
      </c>
      <c r="F184" s="2" t="s">
        <v>434</v>
      </c>
      <c r="G184" s="1" t="s">
        <v>11</v>
      </c>
      <c r="I184" s="2">
        <v>4</v>
      </c>
      <c r="J184" s="1" t="s">
        <v>11</v>
      </c>
    </row>
    <row r="185" spans="1:10" x14ac:dyDescent="0.3">
      <c r="A185" s="3" t="s">
        <v>435</v>
      </c>
      <c r="B185" s="4" t="s">
        <v>432</v>
      </c>
      <c r="E185" t="s">
        <v>436</v>
      </c>
      <c r="F185" s="14" t="s">
        <v>437</v>
      </c>
      <c r="G185" t="s">
        <v>53</v>
      </c>
      <c r="I185" s="2">
        <f>3.5*0.0254</f>
        <v>8.8899999999999993E-2</v>
      </c>
      <c r="J185" s="1" t="s">
        <v>378</v>
      </c>
    </row>
    <row r="186" spans="1:10" x14ac:dyDescent="0.3">
      <c r="A186" s="3" t="s">
        <v>438</v>
      </c>
      <c r="B186" s="4" t="s">
        <v>432</v>
      </c>
      <c r="E186" t="s">
        <v>439</v>
      </c>
      <c r="F186" s="2" t="s">
        <v>440</v>
      </c>
      <c r="G186" s="1" t="s">
        <v>11</v>
      </c>
      <c r="I186" s="2" t="s">
        <v>440</v>
      </c>
      <c r="J186" s="1" t="s">
        <v>11</v>
      </c>
    </row>
    <row r="187" spans="1:10" x14ac:dyDescent="0.3">
      <c r="A187" s="3" t="s">
        <v>441</v>
      </c>
      <c r="B187" s="4" t="s">
        <v>432</v>
      </c>
      <c r="E187" t="s">
        <v>442</v>
      </c>
      <c r="F187" s="2">
        <v>0.7</v>
      </c>
      <c r="G187" s="1" t="s">
        <v>11</v>
      </c>
      <c r="I187" s="13"/>
      <c r="J187" t="s">
        <v>39</v>
      </c>
    </row>
    <row r="188" spans="1:10" x14ac:dyDescent="0.3">
      <c r="A188" s="3" t="s">
        <v>443</v>
      </c>
      <c r="B188" s="4" t="s">
        <v>432</v>
      </c>
      <c r="E188" t="s">
        <v>444</v>
      </c>
      <c r="F188" s="13"/>
      <c r="G188" t="s">
        <v>39</v>
      </c>
      <c r="I188" s="2">
        <v>5.4799999999999996E-3</v>
      </c>
      <c r="J188" s="1" t="s">
        <v>378</v>
      </c>
    </row>
    <row r="189" spans="1:10" x14ac:dyDescent="0.3">
      <c r="A189" s="3" t="s">
        <v>445</v>
      </c>
      <c r="B189" s="4" t="s">
        <v>432</v>
      </c>
      <c r="E189" t="s">
        <v>446</v>
      </c>
      <c r="F189" s="13"/>
      <c r="G189" t="s">
        <v>117</v>
      </c>
      <c r="I189" s="17" t="s">
        <v>377</v>
      </c>
      <c r="J189" s="1" t="s">
        <v>378</v>
      </c>
    </row>
    <row r="190" spans="1:10" x14ac:dyDescent="0.3">
      <c r="A190" s="3" t="s">
        <v>447</v>
      </c>
      <c r="B190" s="4" t="s">
        <v>432</v>
      </c>
      <c r="E190" t="s">
        <v>448</v>
      </c>
      <c r="F190" s="13"/>
      <c r="G190" t="s">
        <v>117</v>
      </c>
      <c r="I190" s="18">
        <v>3.69</v>
      </c>
      <c r="J190" s="1" t="s">
        <v>378</v>
      </c>
    </row>
    <row r="191" spans="1:10" s="10" customFormat="1" x14ac:dyDescent="0.3">
      <c r="A191" s="9"/>
      <c r="B191" s="9"/>
      <c r="F191" s="11"/>
      <c r="H191" s="25"/>
      <c r="I191" s="11"/>
    </row>
    <row r="192" spans="1:10" x14ac:dyDescent="0.3">
      <c r="A192" s="3" t="s">
        <v>449</v>
      </c>
      <c r="B192" s="4" t="s">
        <v>450</v>
      </c>
      <c r="E192" t="s">
        <v>451</v>
      </c>
      <c r="F192" s="2" t="s">
        <v>19</v>
      </c>
      <c r="G192" s="1" t="s">
        <v>11</v>
      </c>
      <c r="I192" s="2">
        <v>1</v>
      </c>
      <c r="J192" s="4" t="s">
        <v>11</v>
      </c>
    </row>
    <row r="193" spans="1:10" x14ac:dyDescent="0.3">
      <c r="A193" s="3" t="s">
        <v>452</v>
      </c>
      <c r="B193" s="4" t="s">
        <v>450</v>
      </c>
      <c r="E193" t="s">
        <v>453</v>
      </c>
      <c r="F193" s="14" t="s">
        <v>454</v>
      </c>
      <c r="G193" t="s">
        <v>53</v>
      </c>
      <c r="I193" s="2">
        <f>4.5*0.0254</f>
        <v>0.1143</v>
      </c>
      <c r="J193" s="4" t="s">
        <v>378</v>
      </c>
    </row>
    <row r="194" spans="1:10" x14ac:dyDescent="0.3">
      <c r="A194" s="3" t="s">
        <v>455</v>
      </c>
      <c r="B194" s="4" t="s">
        <v>450</v>
      </c>
      <c r="E194" t="s">
        <v>456</v>
      </c>
      <c r="F194" s="2" t="s">
        <v>440</v>
      </c>
      <c r="G194" s="1" t="s">
        <v>11</v>
      </c>
      <c r="I194" s="20" t="s">
        <v>457</v>
      </c>
      <c r="J194" s="4" t="s">
        <v>11</v>
      </c>
    </row>
    <row r="195" spans="1:10" x14ac:dyDescent="0.3">
      <c r="A195" s="3" t="s">
        <v>458</v>
      </c>
      <c r="B195" s="4" t="s">
        <v>450</v>
      </c>
      <c r="E195" t="s">
        <v>459</v>
      </c>
      <c r="F195" s="2">
        <v>0.8</v>
      </c>
      <c r="G195" s="1" t="s">
        <v>11</v>
      </c>
      <c r="I195" s="13"/>
      <c r="J195" s="3" t="s">
        <v>39</v>
      </c>
    </row>
    <row r="196" spans="1:10" x14ac:dyDescent="0.3">
      <c r="A196" s="3" t="s">
        <v>460</v>
      </c>
      <c r="B196" s="4" t="s">
        <v>450</v>
      </c>
      <c r="E196" t="s">
        <v>461</v>
      </c>
      <c r="F196" s="2" t="s">
        <v>462</v>
      </c>
      <c r="G196" s="1" t="s">
        <v>11</v>
      </c>
      <c r="I196" s="13"/>
      <c r="J196" s="3" t="s">
        <v>39</v>
      </c>
    </row>
    <row r="197" spans="1:10" x14ac:dyDescent="0.3">
      <c r="A197" s="3" t="s">
        <v>463</v>
      </c>
      <c r="B197" s="4" t="s">
        <v>450</v>
      </c>
      <c r="E197" t="s">
        <v>464</v>
      </c>
      <c r="F197" s="12"/>
      <c r="G197" s="23" t="s">
        <v>16</v>
      </c>
      <c r="I197" s="13"/>
      <c r="J197" s="3" t="s">
        <v>39</v>
      </c>
    </row>
    <row r="198" spans="1:10" x14ac:dyDescent="0.3">
      <c r="A198" s="3" t="s">
        <v>465</v>
      </c>
      <c r="B198" s="4" t="s">
        <v>450</v>
      </c>
      <c r="E198" t="s">
        <v>466</v>
      </c>
      <c r="F198" s="2" t="s">
        <v>144</v>
      </c>
      <c r="G198" s="1" t="s">
        <v>11</v>
      </c>
      <c r="I198" s="13"/>
      <c r="J198" s="3" t="s">
        <v>39</v>
      </c>
    </row>
    <row r="199" spans="1:10" x14ac:dyDescent="0.3">
      <c r="A199" s="3" t="s">
        <v>467</v>
      </c>
      <c r="B199" s="4" t="s">
        <v>450</v>
      </c>
      <c r="E199" t="s">
        <v>468</v>
      </c>
      <c r="F199" s="2" t="s">
        <v>144</v>
      </c>
      <c r="G199" s="1" t="s">
        <v>11</v>
      </c>
      <c r="I199" s="13"/>
      <c r="J199" s="3" t="s">
        <v>39</v>
      </c>
    </row>
    <row r="200" spans="1:10" x14ac:dyDescent="0.3">
      <c r="A200" s="3" t="s">
        <v>469</v>
      </c>
      <c r="B200" s="4" t="s">
        <v>450</v>
      </c>
      <c r="E200" t="s">
        <v>470</v>
      </c>
      <c r="F200" s="2" t="s">
        <v>144</v>
      </c>
      <c r="G200" s="1" t="s">
        <v>11</v>
      </c>
      <c r="I200" s="13"/>
      <c r="J200" s="3" t="s">
        <v>39</v>
      </c>
    </row>
    <row r="201" spans="1:10" x14ac:dyDescent="0.3">
      <c r="A201" s="3" t="s">
        <v>471</v>
      </c>
      <c r="B201" s="4" t="s">
        <v>450</v>
      </c>
      <c r="E201" t="s">
        <v>472</v>
      </c>
      <c r="F201" s="2" t="s">
        <v>473</v>
      </c>
      <c r="G201" s="1" t="s">
        <v>11</v>
      </c>
      <c r="I201" s="13"/>
      <c r="J201" s="3" t="s">
        <v>39</v>
      </c>
    </row>
    <row r="202" spans="1:10" x14ac:dyDescent="0.3">
      <c r="A202" s="3" t="s">
        <v>474</v>
      </c>
      <c r="B202" s="4" t="s">
        <v>450</v>
      </c>
      <c r="E202" t="s">
        <v>475</v>
      </c>
      <c r="F202" s="13"/>
      <c r="G202" t="s">
        <v>39</v>
      </c>
      <c r="I202" s="18">
        <v>0.05</v>
      </c>
      <c r="J202" s="4" t="s">
        <v>378</v>
      </c>
    </row>
    <row r="203" spans="1:10" x14ac:dyDescent="0.3">
      <c r="A203" s="3" t="s">
        <v>476</v>
      </c>
      <c r="B203" s="4" t="s">
        <v>450</v>
      </c>
      <c r="E203" t="s">
        <v>477</v>
      </c>
      <c r="F203" s="13"/>
      <c r="G203" t="s">
        <v>117</v>
      </c>
      <c r="I203" s="17" t="s">
        <v>377</v>
      </c>
      <c r="J203" s="4" t="s">
        <v>378</v>
      </c>
    </row>
    <row r="204" spans="1:10" x14ac:dyDescent="0.3">
      <c r="A204" s="3" t="s">
        <v>478</v>
      </c>
      <c r="B204" s="4" t="s">
        <v>450</v>
      </c>
      <c r="E204" s="19" t="s">
        <v>479</v>
      </c>
      <c r="F204" s="13"/>
      <c r="G204" t="s">
        <v>117</v>
      </c>
      <c r="I204" s="18">
        <v>11.41</v>
      </c>
      <c r="J204" s="4" t="s">
        <v>378</v>
      </c>
    </row>
    <row r="205" spans="1:10" s="10" customFormat="1" x14ac:dyDescent="0.3">
      <c r="A205" s="9"/>
      <c r="B205" s="9"/>
      <c r="F205" s="11"/>
      <c r="H205" s="25"/>
      <c r="I205" s="11"/>
    </row>
    <row r="206" spans="1:10" x14ac:dyDescent="0.3">
      <c r="A206" s="3" t="s">
        <v>480</v>
      </c>
      <c r="B206" s="4" t="s">
        <v>481</v>
      </c>
      <c r="E206" t="s">
        <v>482</v>
      </c>
      <c r="F206" s="2" t="s">
        <v>462</v>
      </c>
      <c r="G206" s="1" t="s">
        <v>11</v>
      </c>
      <c r="I206" s="13"/>
      <c r="J206" s="19" t="s">
        <v>39</v>
      </c>
    </row>
    <row r="207" spans="1:10" x14ac:dyDescent="0.3">
      <c r="A207" s="3" t="s">
        <v>483</v>
      </c>
      <c r="B207" s="4" t="s">
        <v>481</v>
      </c>
      <c r="E207" t="s">
        <v>484</v>
      </c>
      <c r="F207" s="2" t="s">
        <v>473</v>
      </c>
      <c r="G207" s="1" t="s">
        <v>11</v>
      </c>
      <c r="I207" s="13"/>
      <c r="J207" s="19" t="s">
        <v>39</v>
      </c>
    </row>
    <row r="208" spans="1:10" x14ac:dyDescent="0.3">
      <c r="A208" s="3" t="s">
        <v>485</v>
      </c>
      <c r="B208" s="4" t="s">
        <v>481</v>
      </c>
      <c r="E208" t="s">
        <v>486</v>
      </c>
      <c r="F208" s="2" t="s">
        <v>487</v>
      </c>
      <c r="G208" s="1" t="s">
        <v>11</v>
      </c>
      <c r="I208" s="13"/>
      <c r="J208" s="19" t="s">
        <v>39</v>
      </c>
    </row>
    <row r="209" spans="1:10" x14ac:dyDescent="0.3">
      <c r="A209" s="3" t="s">
        <v>488</v>
      </c>
      <c r="B209" s="4" t="s">
        <v>481</v>
      </c>
      <c r="E209" t="s">
        <v>489</v>
      </c>
      <c r="F209" s="2" t="s">
        <v>144</v>
      </c>
      <c r="G209" s="1" t="s">
        <v>11</v>
      </c>
      <c r="I209" s="13"/>
      <c r="J209" s="19" t="s">
        <v>39</v>
      </c>
    </row>
    <row r="210" spans="1:10" ht="15" customHeight="1" x14ac:dyDescent="0.3">
      <c r="A210" s="3" t="s">
        <v>490</v>
      </c>
      <c r="B210" s="4" t="s">
        <v>481</v>
      </c>
      <c r="E210" t="s">
        <v>491</v>
      </c>
      <c r="F210" s="2" t="s">
        <v>492</v>
      </c>
      <c r="G210" s="1" t="s">
        <v>11</v>
      </c>
      <c r="I210" s="13"/>
      <c r="J210" s="19" t="s">
        <v>39</v>
      </c>
    </row>
    <row r="211" spans="1:10" ht="15" customHeight="1" x14ac:dyDescent="0.3">
      <c r="A211" s="3" t="s">
        <v>493</v>
      </c>
      <c r="B211" s="4" t="s">
        <v>481</v>
      </c>
      <c r="E211" s="28" t="s">
        <v>494</v>
      </c>
      <c r="F211" s="12"/>
      <c r="G211" s="23" t="s">
        <v>16</v>
      </c>
      <c r="I211" s="12">
        <f>-(I157-(I72+I74))</f>
        <v>-0.18694687389105419</v>
      </c>
      <c r="J211" s="23" t="s">
        <v>16</v>
      </c>
    </row>
    <row r="212" spans="1:10" ht="15" customHeight="1" x14ac:dyDescent="0.3">
      <c r="A212" s="3" t="s">
        <v>495</v>
      </c>
      <c r="B212" s="4" t="s">
        <v>481</v>
      </c>
      <c r="E212" s="28" t="s">
        <v>496</v>
      </c>
      <c r="F212" s="12"/>
      <c r="G212" s="23" t="s">
        <v>16</v>
      </c>
      <c r="I212" s="12">
        <f>I193+I137+I185</f>
        <v>0.2132</v>
      </c>
      <c r="J212" s="23" t="s">
        <v>16</v>
      </c>
    </row>
    <row r="213" spans="1:10" s="10" customFormat="1" x14ac:dyDescent="0.3">
      <c r="A213" s="9"/>
      <c r="B213" s="9"/>
      <c r="F213" s="11"/>
      <c r="H213" s="25"/>
      <c r="I213" s="11"/>
    </row>
    <row r="214" spans="1:10" x14ac:dyDescent="0.3">
      <c r="A214" s="3" t="s">
        <v>497</v>
      </c>
      <c r="B214" s="4" t="s">
        <v>498</v>
      </c>
      <c r="E214" t="s">
        <v>499</v>
      </c>
      <c r="F214" s="2" t="s">
        <v>462</v>
      </c>
      <c r="G214" s="1" t="s">
        <v>11</v>
      </c>
      <c r="I214" s="13"/>
      <c r="J214" s="19" t="s">
        <v>39</v>
      </c>
    </row>
    <row r="215" spans="1:10" x14ac:dyDescent="0.3">
      <c r="A215" s="3" t="s">
        <v>500</v>
      </c>
      <c r="B215" s="4" t="s">
        <v>498</v>
      </c>
      <c r="E215" t="s">
        <v>501</v>
      </c>
      <c r="F215" s="2" t="s">
        <v>473</v>
      </c>
      <c r="G215" s="1" t="s">
        <v>11</v>
      </c>
      <c r="I215" s="13"/>
      <c r="J215" s="19" t="s">
        <v>39</v>
      </c>
    </row>
    <row r="216" spans="1:10" x14ac:dyDescent="0.3">
      <c r="A216" s="3" t="s">
        <v>502</v>
      </c>
      <c r="B216" s="4" t="s">
        <v>498</v>
      </c>
      <c r="E216" t="s">
        <v>503</v>
      </c>
      <c r="F216" s="2" t="s">
        <v>487</v>
      </c>
      <c r="G216" s="1" t="s">
        <v>11</v>
      </c>
      <c r="I216" s="13"/>
      <c r="J216" s="19" t="s">
        <v>39</v>
      </c>
    </row>
    <row r="217" spans="1:10" x14ac:dyDescent="0.3">
      <c r="A217" s="3" t="s">
        <v>504</v>
      </c>
      <c r="B217" s="4" t="s">
        <v>498</v>
      </c>
      <c r="E217" t="s">
        <v>505</v>
      </c>
      <c r="F217" s="2" t="s">
        <v>144</v>
      </c>
      <c r="G217" s="1" t="s">
        <v>11</v>
      </c>
      <c r="I217" s="13"/>
      <c r="J217" s="19" t="s">
        <v>39</v>
      </c>
    </row>
    <row r="218" spans="1:10" ht="15" customHeight="1" x14ac:dyDescent="0.3">
      <c r="A218" s="3" t="s">
        <v>506</v>
      </c>
      <c r="B218" s="4" t="s">
        <v>498</v>
      </c>
      <c r="E218" t="s">
        <v>507</v>
      </c>
      <c r="F218" s="2" t="s">
        <v>492</v>
      </c>
      <c r="G218" s="1" t="s">
        <v>11</v>
      </c>
      <c r="I218" s="13"/>
      <c r="J218" s="19" t="s">
        <v>39</v>
      </c>
    </row>
    <row r="219" spans="1:10" ht="15" customHeight="1" x14ac:dyDescent="0.3">
      <c r="A219" s="3" t="s">
        <v>508</v>
      </c>
      <c r="B219" s="4" t="s">
        <v>498</v>
      </c>
      <c r="E219" s="28" t="s">
        <v>509</v>
      </c>
      <c r="F219" s="12"/>
      <c r="G219" s="23" t="s">
        <v>16</v>
      </c>
      <c r="I219" s="12">
        <f>I211</f>
        <v>-0.18694687389105419</v>
      </c>
      <c r="J219" s="23" t="s">
        <v>16</v>
      </c>
    </row>
    <row r="220" spans="1:10" ht="15" customHeight="1" x14ac:dyDescent="0.3">
      <c r="A220" s="3" t="s">
        <v>510</v>
      </c>
      <c r="B220" s="4" t="s">
        <v>498</v>
      </c>
      <c r="E220" s="28" t="s">
        <v>511</v>
      </c>
      <c r="F220" s="12"/>
      <c r="G220" s="23" t="s">
        <v>16</v>
      </c>
      <c r="I220" s="12">
        <f>-(I193+I137+I185)</f>
        <v>-0.2132</v>
      </c>
      <c r="J220" s="23" t="s">
        <v>16</v>
      </c>
    </row>
    <row r="221" spans="1:10" s="10" customFormat="1" x14ac:dyDescent="0.3">
      <c r="A221" s="9"/>
      <c r="B221" s="9"/>
      <c r="F221" s="11"/>
      <c r="H221" s="25"/>
      <c r="I221" s="11"/>
    </row>
    <row r="222" spans="1:10" x14ac:dyDescent="0.3">
      <c r="A222" s="3" t="s">
        <v>512</v>
      </c>
      <c r="B222" s="4" t="s">
        <v>513</v>
      </c>
      <c r="E222" t="s">
        <v>514</v>
      </c>
      <c r="F222" s="2" t="s">
        <v>462</v>
      </c>
      <c r="G222" s="1" t="s">
        <v>11</v>
      </c>
      <c r="I222" s="13"/>
      <c r="J222" s="19" t="s">
        <v>39</v>
      </c>
    </row>
    <row r="223" spans="1:10" x14ac:dyDescent="0.3">
      <c r="A223" s="3" t="s">
        <v>515</v>
      </c>
      <c r="B223" s="4" t="s">
        <v>513</v>
      </c>
      <c r="E223" t="s">
        <v>516</v>
      </c>
      <c r="F223" s="2" t="s">
        <v>473</v>
      </c>
      <c r="G223" s="1" t="s">
        <v>11</v>
      </c>
      <c r="I223" s="13"/>
      <c r="J223" s="19" t="s">
        <v>39</v>
      </c>
    </row>
    <row r="224" spans="1:10" x14ac:dyDescent="0.3">
      <c r="A224" s="3" t="s">
        <v>517</v>
      </c>
      <c r="B224" s="4" t="s">
        <v>513</v>
      </c>
      <c r="E224" t="s">
        <v>518</v>
      </c>
      <c r="F224" s="2" t="s">
        <v>487</v>
      </c>
      <c r="G224" s="1" t="s">
        <v>11</v>
      </c>
      <c r="I224" s="13"/>
      <c r="J224" s="19" t="s">
        <v>39</v>
      </c>
    </row>
    <row r="225" spans="1:10" x14ac:dyDescent="0.3">
      <c r="A225" s="3" t="s">
        <v>519</v>
      </c>
      <c r="B225" s="4" t="s">
        <v>513</v>
      </c>
      <c r="E225" t="s">
        <v>520</v>
      </c>
      <c r="F225" s="2" t="s">
        <v>144</v>
      </c>
      <c r="G225" s="1" t="s">
        <v>11</v>
      </c>
      <c r="I225" s="13"/>
      <c r="J225" s="19" t="s">
        <v>39</v>
      </c>
    </row>
    <row r="226" spans="1:10" ht="15" customHeight="1" x14ac:dyDescent="0.3">
      <c r="A226" s="3" t="s">
        <v>521</v>
      </c>
      <c r="B226" s="4" t="s">
        <v>513</v>
      </c>
      <c r="E226" t="s">
        <v>522</v>
      </c>
      <c r="F226" s="2" t="s">
        <v>492</v>
      </c>
      <c r="G226" s="1" t="s">
        <v>11</v>
      </c>
      <c r="I226" s="13"/>
      <c r="J226" s="19" t="s">
        <v>39</v>
      </c>
    </row>
    <row r="227" spans="1:10" ht="15" customHeight="1" x14ac:dyDescent="0.3">
      <c r="A227" s="3" t="s">
        <v>523</v>
      </c>
      <c r="B227" s="4" t="s">
        <v>513</v>
      </c>
      <c r="E227" s="28" t="s">
        <v>524</v>
      </c>
      <c r="F227" s="12"/>
      <c r="G227" s="23" t="s">
        <v>16</v>
      </c>
      <c r="I227" s="12">
        <f>I157+I72+I74</f>
        <v>0.2952250153060953</v>
      </c>
      <c r="J227" s="23" t="s">
        <v>16</v>
      </c>
    </row>
    <row r="228" spans="1:10" ht="15" customHeight="1" x14ac:dyDescent="0.3">
      <c r="A228" s="3" t="s">
        <v>525</v>
      </c>
      <c r="B228" s="4" t="s">
        <v>513</v>
      </c>
      <c r="E228" s="28" t="s">
        <v>526</v>
      </c>
      <c r="F228" s="12"/>
      <c r="G228" s="23" t="s">
        <v>16</v>
      </c>
      <c r="I228" s="12">
        <f>I193+I137+I185</f>
        <v>0.2132</v>
      </c>
      <c r="J228" s="23" t="s">
        <v>16</v>
      </c>
    </row>
    <row r="229" spans="1:10" s="10" customFormat="1" x14ac:dyDescent="0.3">
      <c r="A229" s="9"/>
      <c r="B229" s="9"/>
      <c r="F229" s="11"/>
      <c r="H229" s="25"/>
      <c r="I229" s="11"/>
    </row>
    <row r="230" spans="1:10" x14ac:dyDescent="0.3">
      <c r="A230" s="3" t="s">
        <v>527</v>
      </c>
      <c r="B230" s="4" t="s">
        <v>528</v>
      </c>
      <c r="E230" t="s">
        <v>529</v>
      </c>
      <c r="F230" s="2" t="s">
        <v>462</v>
      </c>
      <c r="G230" s="1" t="s">
        <v>11</v>
      </c>
      <c r="I230" s="13"/>
      <c r="J230" s="19" t="s">
        <v>39</v>
      </c>
    </row>
    <row r="231" spans="1:10" x14ac:dyDescent="0.3">
      <c r="A231" s="3" t="s">
        <v>530</v>
      </c>
      <c r="B231" s="4" t="s">
        <v>528</v>
      </c>
      <c r="E231" t="s">
        <v>531</v>
      </c>
      <c r="F231" s="2" t="s">
        <v>473</v>
      </c>
      <c r="G231" s="1" t="s">
        <v>11</v>
      </c>
      <c r="I231" s="13"/>
      <c r="J231" s="19" t="s">
        <v>39</v>
      </c>
    </row>
    <row r="232" spans="1:10" x14ac:dyDescent="0.3">
      <c r="A232" s="3" t="s">
        <v>532</v>
      </c>
      <c r="B232" s="4" t="s">
        <v>528</v>
      </c>
      <c r="E232" t="s">
        <v>533</v>
      </c>
      <c r="F232" s="2" t="s">
        <v>487</v>
      </c>
      <c r="G232" s="1" t="s">
        <v>11</v>
      </c>
      <c r="I232" s="13"/>
      <c r="J232" s="19" t="s">
        <v>39</v>
      </c>
    </row>
    <row r="233" spans="1:10" x14ac:dyDescent="0.3">
      <c r="A233" s="3" t="s">
        <v>534</v>
      </c>
      <c r="B233" s="4" t="s">
        <v>528</v>
      </c>
      <c r="E233" t="s">
        <v>535</v>
      </c>
      <c r="F233" s="2" t="s">
        <v>144</v>
      </c>
      <c r="G233" s="1" t="s">
        <v>11</v>
      </c>
      <c r="I233" s="13"/>
      <c r="J233" s="19" t="s">
        <v>39</v>
      </c>
    </row>
    <row r="234" spans="1:10" ht="15" customHeight="1" x14ac:dyDescent="0.3">
      <c r="A234" s="3" t="s">
        <v>536</v>
      </c>
      <c r="B234" s="4" t="s">
        <v>528</v>
      </c>
      <c r="E234" t="s">
        <v>537</v>
      </c>
      <c r="F234" s="2" t="s">
        <v>492</v>
      </c>
      <c r="G234" s="1" t="s">
        <v>11</v>
      </c>
      <c r="I234" s="13"/>
      <c r="J234" s="19" t="s">
        <v>39</v>
      </c>
    </row>
    <row r="235" spans="1:10" ht="15" customHeight="1" x14ac:dyDescent="0.3">
      <c r="A235" s="3" t="s">
        <v>538</v>
      </c>
      <c r="B235" s="4" t="s">
        <v>528</v>
      </c>
      <c r="E235" s="28" t="s">
        <v>539</v>
      </c>
      <c r="F235" s="12"/>
      <c r="G235" s="23" t="s">
        <v>16</v>
      </c>
      <c r="I235" s="12">
        <f>I227</f>
        <v>0.2952250153060953</v>
      </c>
      <c r="J235" s="23" t="s">
        <v>16</v>
      </c>
    </row>
    <row r="236" spans="1:10" ht="15" customHeight="1" x14ac:dyDescent="0.3">
      <c r="A236" s="3" t="s">
        <v>540</v>
      </c>
      <c r="B236" s="4" t="s">
        <v>528</v>
      </c>
      <c r="E236" s="28" t="s">
        <v>541</v>
      </c>
      <c r="F236" s="12"/>
      <c r="G236" s="23" t="s">
        <v>16</v>
      </c>
      <c r="I236" s="12">
        <f>-(I193+I137+I185)</f>
        <v>-0.2132</v>
      </c>
      <c r="J236" s="23" t="s">
        <v>16</v>
      </c>
    </row>
    <row r="237" spans="1:10" s="10" customFormat="1" x14ac:dyDescent="0.3">
      <c r="A237" s="9"/>
      <c r="B237" s="9"/>
      <c r="F237" s="11"/>
      <c r="H237" s="25"/>
      <c r="I237" s="11"/>
    </row>
    <row r="238" spans="1:10" x14ac:dyDescent="0.3">
      <c r="A238" s="3" t="s">
        <v>542</v>
      </c>
      <c r="B238" s="4" t="s">
        <v>543</v>
      </c>
      <c r="E238" t="s">
        <v>544</v>
      </c>
      <c r="F238" s="2">
        <v>0.19700000000000001</v>
      </c>
      <c r="G238" s="1" t="s">
        <v>11</v>
      </c>
      <c r="I238" s="2">
        <v>0.19700000000000001</v>
      </c>
      <c r="J238" s="4" t="s">
        <v>378</v>
      </c>
    </row>
    <row r="239" spans="1:10" x14ac:dyDescent="0.3">
      <c r="A239" s="3" t="s">
        <v>545</v>
      </c>
      <c r="B239" s="4" t="s">
        <v>543</v>
      </c>
      <c r="E239" t="s">
        <v>546</v>
      </c>
      <c r="F239" s="13"/>
      <c r="G239" s="19" t="s">
        <v>39</v>
      </c>
      <c r="I239" s="13"/>
      <c r="J239" s="19" t="s">
        <v>39</v>
      </c>
    </row>
    <row r="240" spans="1:10" x14ac:dyDescent="0.3">
      <c r="A240" s="3" t="s">
        <v>547</v>
      </c>
      <c r="B240" s="4" t="s">
        <v>543</v>
      </c>
      <c r="E240" t="s">
        <v>548</v>
      </c>
      <c r="F240" s="13"/>
      <c r="G240" s="19" t="s">
        <v>39</v>
      </c>
      <c r="I240" s="13"/>
      <c r="J240" s="19" t="s">
        <v>39</v>
      </c>
    </row>
    <row r="241" spans="1:10" x14ac:dyDescent="0.3">
      <c r="A241" s="3" t="s">
        <v>549</v>
      </c>
      <c r="B241" s="4" t="s">
        <v>543</v>
      </c>
      <c r="E241" t="s">
        <v>550</v>
      </c>
      <c r="F241" s="13"/>
      <c r="G241" s="19" t="s">
        <v>39</v>
      </c>
      <c r="I241" s="13"/>
      <c r="J241" s="19" t="s">
        <v>39</v>
      </c>
    </row>
    <row r="242" spans="1:10" x14ac:dyDescent="0.3">
      <c r="A242" s="3" t="s">
        <v>551</v>
      </c>
      <c r="B242" s="4" t="s">
        <v>543</v>
      </c>
      <c r="E242" s="19" t="s">
        <v>552</v>
      </c>
      <c r="F242" s="2">
        <v>3158.25</v>
      </c>
      <c r="G242" s="1" t="s">
        <v>11</v>
      </c>
      <c r="I242" s="20">
        <v>3158.25</v>
      </c>
      <c r="J242" s="4" t="s">
        <v>378</v>
      </c>
    </row>
    <row r="243" spans="1:10" x14ac:dyDescent="0.3">
      <c r="A243" s="3" t="s">
        <v>553</v>
      </c>
      <c r="B243" s="4" t="s">
        <v>543</v>
      </c>
      <c r="E243" s="19" t="s">
        <v>554</v>
      </c>
      <c r="F243" s="17" t="s">
        <v>555</v>
      </c>
      <c r="G243" s="1" t="s">
        <v>11</v>
      </c>
      <c r="I243" s="17" t="s">
        <v>555</v>
      </c>
      <c r="J243" s="4" t="s">
        <v>378</v>
      </c>
    </row>
    <row r="244" spans="1:10" s="10" customFormat="1" x14ac:dyDescent="0.3">
      <c r="A244" s="9"/>
      <c r="B244" s="9"/>
      <c r="F244" s="11"/>
      <c r="H244" s="25"/>
      <c r="I244" s="11"/>
    </row>
    <row r="245" spans="1:10" x14ac:dyDescent="0.3">
      <c r="A245" s="3" t="s">
        <v>556</v>
      </c>
      <c r="B245" s="4" t="s">
        <v>557</v>
      </c>
      <c r="E245" t="s">
        <v>558</v>
      </c>
      <c r="F245" s="2" t="s">
        <v>559</v>
      </c>
      <c r="G245" s="1" t="s">
        <v>11</v>
      </c>
      <c r="I245" s="2" t="s">
        <v>559</v>
      </c>
      <c r="J245" s="4" t="s">
        <v>378</v>
      </c>
    </row>
    <row r="246" spans="1:10" x14ac:dyDescent="0.3">
      <c r="A246" s="3" t="s">
        <v>560</v>
      </c>
      <c r="B246" s="4" t="s">
        <v>557</v>
      </c>
      <c r="E246" t="s">
        <v>561</v>
      </c>
      <c r="F246" s="2">
        <v>94.5</v>
      </c>
      <c r="G246" s="1" t="s">
        <v>11</v>
      </c>
      <c r="I246" s="2">
        <v>94.5</v>
      </c>
      <c r="J246" s="4" t="s">
        <v>378</v>
      </c>
    </row>
    <row r="247" spans="1:10" x14ac:dyDescent="0.3">
      <c r="A247" s="3" t="s">
        <v>562</v>
      </c>
      <c r="B247" s="4" t="s">
        <v>557</v>
      </c>
      <c r="E247" t="s">
        <v>563</v>
      </c>
      <c r="F247" s="2">
        <v>31</v>
      </c>
      <c r="G247" s="1" t="s">
        <v>11</v>
      </c>
      <c r="I247" s="2">
        <v>31</v>
      </c>
      <c r="J247" s="4" t="s">
        <v>378</v>
      </c>
    </row>
    <row r="248" spans="1:10" x14ac:dyDescent="0.3">
      <c r="A248" s="3" t="s">
        <v>564</v>
      </c>
      <c r="B248" s="4" t="s">
        <v>557</v>
      </c>
      <c r="E248" t="s">
        <v>565</v>
      </c>
      <c r="F248" s="2">
        <v>44.3</v>
      </c>
      <c r="G248" s="1" t="s">
        <v>11</v>
      </c>
      <c r="I248" s="2">
        <v>44.3</v>
      </c>
      <c r="J248" s="4" t="s">
        <v>378</v>
      </c>
    </row>
    <row r="249" spans="1:10" x14ac:dyDescent="0.3">
      <c r="A249" s="3" t="s">
        <v>566</v>
      </c>
      <c r="B249" s="4" t="s">
        <v>557</v>
      </c>
      <c r="E249" s="19" t="s">
        <v>567</v>
      </c>
      <c r="F249" s="2">
        <v>847.46</v>
      </c>
      <c r="G249" s="1" t="s">
        <v>11</v>
      </c>
      <c r="I249" s="2">
        <v>847.46</v>
      </c>
      <c r="J249" s="4" t="s">
        <v>378</v>
      </c>
    </row>
    <row r="250" spans="1:10" x14ac:dyDescent="0.3">
      <c r="A250" s="3" t="s">
        <v>568</v>
      </c>
      <c r="B250" s="4" t="s">
        <v>557</v>
      </c>
      <c r="E250" s="19" t="s">
        <v>569</v>
      </c>
      <c r="F250" s="17" t="s">
        <v>570</v>
      </c>
      <c r="G250" s="1" t="s">
        <v>11</v>
      </c>
      <c r="I250" s="17" t="s">
        <v>570</v>
      </c>
      <c r="J250" s="4" t="s">
        <v>378</v>
      </c>
    </row>
    <row r="251" spans="1:10" s="10" customFormat="1" x14ac:dyDescent="0.3">
      <c r="A251" s="9"/>
      <c r="B251" s="9"/>
      <c r="F251" s="11"/>
      <c r="H251" s="25"/>
      <c r="I251" s="11"/>
    </row>
    <row r="252" spans="1:10" x14ac:dyDescent="0.3">
      <c r="A252" s="3" t="s">
        <v>571</v>
      </c>
      <c r="B252" s="4" t="s">
        <v>572</v>
      </c>
      <c r="E252" t="s">
        <v>573</v>
      </c>
      <c r="F252" s="2" t="s">
        <v>574</v>
      </c>
      <c r="G252" s="1" t="s">
        <v>11</v>
      </c>
      <c r="I252" s="2" t="s">
        <v>574</v>
      </c>
      <c r="J252" s="4" t="s">
        <v>378</v>
      </c>
    </row>
    <row r="253" spans="1:10" x14ac:dyDescent="0.3">
      <c r="A253" s="3" t="s">
        <v>575</v>
      </c>
      <c r="B253" s="4" t="s">
        <v>572</v>
      </c>
      <c r="E253" t="s">
        <v>576</v>
      </c>
      <c r="F253" s="2">
        <v>85</v>
      </c>
      <c r="G253" s="1" t="s">
        <v>11</v>
      </c>
      <c r="I253" s="2">
        <v>85</v>
      </c>
      <c r="J253" s="4" t="s">
        <v>378</v>
      </c>
    </row>
    <row r="254" spans="1:10" x14ac:dyDescent="0.3">
      <c r="A254" s="3" t="s">
        <v>577</v>
      </c>
      <c r="B254" s="4" t="s">
        <v>572</v>
      </c>
      <c r="E254" t="s">
        <v>578</v>
      </c>
      <c r="F254" s="2">
        <v>20</v>
      </c>
      <c r="G254" s="1" t="s">
        <v>11</v>
      </c>
      <c r="I254" s="2">
        <v>20</v>
      </c>
      <c r="J254" s="4" t="s">
        <v>378</v>
      </c>
    </row>
    <row r="255" spans="1:10" x14ac:dyDescent="0.3">
      <c r="A255" s="3" t="s">
        <v>579</v>
      </c>
      <c r="B255" s="4" t="s">
        <v>572</v>
      </c>
      <c r="E255" t="s">
        <v>580</v>
      </c>
      <c r="F255" s="2">
        <v>56</v>
      </c>
      <c r="G255" s="1" t="s">
        <v>11</v>
      </c>
      <c r="I255" s="2">
        <v>56</v>
      </c>
      <c r="J255" s="4" t="s">
        <v>378</v>
      </c>
    </row>
    <row r="256" spans="1:10" x14ac:dyDescent="0.3">
      <c r="A256" s="3" t="s">
        <v>581</v>
      </c>
      <c r="B256" s="4" t="s">
        <v>572</v>
      </c>
      <c r="E256" s="19" t="s">
        <v>582</v>
      </c>
      <c r="F256" s="2">
        <v>245.93</v>
      </c>
      <c r="G256" s="1" t="s">
        <v>11</v>
      </c>
      <c r="I256" s="2">
        <v>245.93</v>
      </c>
      <c r="J256" s="4" t="s">
        <v>378</v>
      </c>
    </row>
    <row r="257" spans="1:10" x14ac:dyDescent="0.3">
      <c r="A257" s="3" t="s">
        <v>583</v>
      </c>
      <c r="B257" s="4" t="s">
        <v>572</v>
      </c>
      <c r="E257" s="19" t="s">
        <v>584</v>
      </c>
      <c r="F257" s="17" t="s">
        <v>585</v>
      </c>
      <c r="G257" s="1" t="s">
        <v>11</v>
      </c>
      <c r="I257" s="17" t="s">
        <v>585</v>
      </c>
      <c r="J257" s="4" t="s">
        <v>378</v>
      </c>
    </row>
    <row r="258" spans="1:10" s="10" customFormat="1" x14ac:dyDescent="0.3">
      <c r="A258" s="9"/>
      <c r="B258" s="9"/>
      <c r="F258" s="11"/>
      <c r="H258" s="25"/>
      <c r="I258" s="11"/>
    </row>
    <row r="259" spans="1:10" x14ac:dyDescent="0.3">
      <c r="A259" s="3" t="s">
        <v>586</v>
      </c>
      <c r="B259" s="4" t="s">
        <v>587</v>
      </c>
      <c r="E259" t="s">
        <v>588</v>
      </c>
      <c r="F259" s="2">
        <v>6.7000000000000004E-2</v>
      </c>
      <c r="G259" s="1" t="s">
        <v>11</v>
      </c>
      <c r="I259" s="2">
        <v>6.7000000000000004E-2</v>
      </c>
      <c r="J259" s="4" t="s">
        <v>378</v>
      </c>
    </row>
    <row r="260" spans="1:10" x14ac:dyDescent="0.3">
      <c r="A260" s="3" t="s">
        <v>589</v>
      </c>
      <c r="B260" s="4" t="s">
        <v>587</v>
      </c>
      <c r="E260" t="s">
        <v>590</v>
      </c>
      <c r="G260" s="1" t="s">
        <v>11</v>
      </c>
      <c r="J260" s="4" t="s">
        <v>378</v>
      </c>
    </row>
    <row r="261" spans="1:10" x14ac:dyDescent="0.3">
      <c r="A261" s="3" t="s">
        <v>591</v>
      </c>
      <c r="B261" s="4" t="s">
        <v>587</v>
      </c>
      <c r="E261" t="s">
        <v>592</v>
      </c>
      <c r="G261" s="1" t="s">
        <v>11</v>
      </c>
      <c r="J261" s="4" t="s">
        <v>378</v>
      </c>
    </row>
    <row r="262" spans="1:10" x14ac:dyDescent="0.3">
      <c r="A262" s="3" t="s">
        <v>593</v>
      </c>
      <c r="B262" s="4" t="s">
        <v>587</v>
      </c>
      <c r="E262" t="s">
        <v>594</v>
      </c>
      <c r="G262" s="1" t="s">
        <v>11</v>
      </c>
      <c r="J262" s="4" t="s">
        <v>378</v>
      </c>
    </row>
    <row r="263" spans="1:10" x14ac:dyDescent="0.3">
      <c r="A263" s="3" t="s">
        <v>595</v>
      </c>
      <c r="B263" s="4" t="s">
        <v>587</v>
      </c>
      <c r="E263" s="19" t="s">
        <v>596</v>
      </c>
      <c r="F263" s="2">
        <v>816.6</v>
      </c>
      <c r="G263" s="1" t="s">
        <v>11</v>
      </c>
      <c r="I263" s="2">
        <v>816.6</v>
      </c>
      <c r="J263" s="4" t="s">
        <v>378</v>
      </c>
    </row>
    <row r="264" spans="1:10" x14ac:dyDescent="0.3">
      <c r="A264" s="3" t="s">
        <v>597</v>
      </c>
      <c r="B264" s="4" t="s">
        <v>587</v>
      </c>
      <c r="E264" s="19" t="s">
        <v>598</v>
      </c>
      <c r="F264" s="17" t="s">
        <v>599</v>
      </c>
      <c r="G264" s="1" t="s">
        <v>11</v>
      </c>
      <c r="I264" s="17" t="s">
        <v>599</v>
      </c>
      <c r="J264" s="4" t="s">
        <v>378</v>
      </c>
    </row>
    <row r="265" spans="1:10" s="10" customFormat="1" x14ac:dyDescent="0.3">
      <c r="A265" s="9"/>
      <c r="B265" s="9"/>
      <c r="F265" s="11"/>
      <c r="H265" s="25"/>
      <c r="I265" s="11"/>
    </row>
    <row r="266" spans="1:10" x14ac:dyDescent="0.3">
      <c r="A266" s="3" t="s">
        <v>600</v>
      </c>
      <c r="B266" s="4" t="s">
        <v>601</v>
      </c>
      <c r="E266" t="s">
        <v>602</v>
      </c>
      <c r="F266" s="2">
        <v>2.2000000000000001E-3</v>
      </c>
      <c r="G266" s="1" t="s">
        <v>11</v>
      </c>
      <c r="I266" s="2">
        <v>2.2000000000000001E-3</v>
      </c>
      <c r="J266" s="4" t="s">
        <v>378</v>
      </c>
    </row>
    <row r="267" spans="1:10" x14ac:dyDescent="0.3">
      <c r="A267" s="3" t="s">
        <v>603</v>
      </c>
      <c r="B267" s="4" t="s">
        <v>601</v>
      </c>
      <c r="E267" t="s">
        <v>604</v>
      </c>
      <c r="F267" s="2">
        <v>13</v>
      </c>
      <c r="G267" s="1" t="s">
        <v>11</v>
      </c>
      <c r="I267" s="2">
        <v>13</v>
      </c>
      <c r="J267" s="4" t="s">
        <v>378</v>
      </c>
    </row>
    <row r="268" spans="1:10" x14ac:dyDescent="0.3">
      <c r="A268" s="3" t="s">
        <v>605</v>
      </c>
      <c r="B268" s="4" t="s">
        <v>601</v>
      </c>
      <c r="E268" t="s">
        <v>606</v>
      </c>
      <c r="F268" s="2">
        <v>3</v>
      </c>
      <c r="G268" s="1" t="s">
        <v>11</v>
      </c>
      <c r="I268" s="2">
        <v>3</v>
      </c>
      <c r="J268" s="4" t="s">
        <v>378</v>
      </c>
    </row>
    <row r="269" spans="1:10" x14ac:dyDescent="0.3">
      <c r="A269" s="3" t="s">
        <v>607</v>
      </c>
      <c r="B269" s="4" t="s">
        <v>601</v>
      </c>
      <c r="E269" t="s">
        <v>608</v>
      </c>
      <c r="F269" s="2">
        <v>11</v>
      </c>
      <c r="G269" s="1" t="s">
        <v>11</v>
      </c>
      <c r="I269" s="2">
        <v>11</v>
      </c>
      <c r="J269" s="4" t="s">
        <v>378</v>
      </c>
    </row>
    <row r="270" spans="1:10" x14ac:dyDescent="0.3">
      <c r="A270" s="3" t="s">
        <v>609</v>
      </c>
      <c r="B270" s="4" t="s">
        <v>601</v>
      </c>
      <c r="E270" s="19" t="s">
        <v>610</v>
      </c>
      <c r="F270" s="2">
        <v>27.19</v>
      </c>
      <c r="G270" s="1" t="s">
        <v>11</v>
      </c>
      <c r="I270" s="2">
        <v>27.19</v>
      </c>
      <c r="J270" s="4" t="s">
        <v>378</v>
      </c>
    </row>
    <row r="271" spans="1:10" x14ac:dyDescent="0.3">
      <c r="A271" s="3" t="s">
        <v>611</v>
      </c>
      <c r="B271" s="4" t="s">
        <v>601</v>
      </c>
      <c r="E271" s="19" t="s">
        <v>612</v>
      </c>
      <c r="F271" s="17" t="s">
        <v>613</v>
      </c>
      <c r="G271" s="1" t="s">
        <v>11</v>
      </c>
      <c r="I271" s="17" t="s">
        <v>613</v>
      </c>
      <c r="J271" s="4" t="s">
        <v>378</v>
      </c>
    </row>
    <row r="272" spans="1:10" s="10" customFormat="1" x14ac:dyDescent="0.3">
      <c r="A272" s="9"/>
      <c r="B272" s="9"/>
      <c r="F272" s="11"/>
      <c r="H272" s="25"/>
      <c r="I272" s="11"/>
    </row>
    <row r="273" spans="1:10" x14ac:dyDescent="0.3">
      <c r="A273" s="3" t="s">
        <v>614</v>
      </c>
      <c r="B273" s="4" t="s">
        <v>615</v>
      </c>
      <c r="E273" t="s">
        <v>616</v>
      </c>
      <c r="F273" s="2">
        <v>1E-3</v>
      </c>
      <c r="G273" s="1" t="s">
        <v>11</v>
      </c>
      <c r="I273" s="2">
        <v>1E-3</v>
      </c>
      <c r="J273" s="4" t="s">
        <v>378</v>
      </c>
    </row>
    <row r="274" spans="1:10" x14ac:dyDescent="0.3">
      <c r="A274" s="3" t="s">
        <v>617</v>
      </c>
      <c r="B274" s="4" t="s">
        <v>615</v>
      </c>
      <c r="E274" t="s">
        <v>618</v>
      </c>
      <c r="F274" s="2">
        <v>32</v>
      </c>
      <c r="G274" s="1" t="s">
        <v>11</v>
      </c>
      <c r="I274" s="2">
        <v>32</v>
      </c>
      <c r="J274" s="4" t="s">
        <v>378</v>
      </c>
    </row>
    <row r="275" spans="1:10" x14ac:dyDescent="0.3">
      <c r="A275" s="3" t="s">
        <v>619</v>
      </c>
      <c r="B275" s="4" t="s">
        <v>615</v>
      </c>
      <c r="E275" t="s">
        <v>620</v>
      </c>
      <c r="F275" s="2">
        <v>1</v>
      </c>
      <c r="G275" s="1" t="s">
        <v>11</v>
      </c>
      <c r="I275" s="2">
        <v>1</v>
      </c>
      <c r="J275" s="4" t="s">
        <v>378</v>
      </c>
    </row>
    <row r="276" spans="1:10" x14ac:dyDescent="0.3">
      <c r="A276" s="3" t="s">
        <v>621</v>
      </c>
      <c r="B276" s="4" t="s">
        <v>615</v>
      </c>
      <c r="E276" t="s">
        <v>622</v>
      </c>
      <c r="F276" s="2">
        <v>23</v>
      </c>
      <c r="G276" s="1" t="s">
        <v>11</v>
      </c>
      <c r="I276" s="2">
        <v>23</v>
      </c>
      <c r="J276" s="4" t="s">
        <v>378</v>
      </c>
    </row>
    <row r="277" spans="1:10" x14ac:dyDescent="0.3">
      <c r="A277" s="3" t="s">
        <v>623</v>
      </c>
      <c r="B277" s="4" t="s">
        <v>615</v>
      </c>
      <c r="E277" s="19" t="s">
        <v>624</v>
      </c>
      <c r="F277" s="2">
        <v>27.03</v>
      </c>
      <c r="G277" s="1" t="s">
        <v>11</v>
      </c>
      <c r="I277" s="2">
        <v>27.03</v>
      </c>
      <c r="J277" s="4" t="s">
        <v>378</v>
      </c>
    </row>
    <row r="278" spans="1:10" x14ac:dyDescent="0.3">
      <c r="A278" s="3" t="s">
        <v>625</v>
      </c>
      <c r="B278" s="4" t="s">
        <v>615</v>
      </c>
      <c r="E278" s="19" t="s">
        <v>626</v>
      </c>
      <c r="F278" s="17" t="s">
        <v>627</v>
      </c>
      <c r="G278" s="1" t="s">
        <v>11</v>
      </c>
      <c r="I278" s="17" t="s">
        <v>627</v>
      </c>
      <c r="J278" s="4" t="s">
        <v>378</v>
      </c>
    </row>
    <row r="279" spans="1:10" s="10" customFormat="1" x14ac:dyDescent="0.3">
      <c r="A279" s="9"/>
      <c r="B279" s="9"/>
      <c r="F279" s="11"/>
      <c r="H279" s="25"/>
      <c r="I279" s="11"/>
    </row>
    <row r="280" spans="1:10" x14ac:dyDescent="0.3">
      <c r="A280" s="3" t="s">
        <v>628</v>
      </c>
      <c r="B280" s="4" t="s">
        <v>629</v>
      </c>
      <c r="E280" t="s">
        <v>630</v>
      </c>
      <c r="F280" s="2">
        <v>1.38E-2</v>
      </c>
      <c r="G280" s="1" t="s">
        <v>11</v>
      </c>
      <c r="I280" s="2">
        <v>1.38E-2</v>
      </c>
      <c r="J280" s="4" t="s">
        <v>378</v>
      </c>
    </row>
    <row r="281" spans="1:10" x14ac:dyDescent="0.3">
      <c r="A281" s="3" t="s">
        <v>631</v>
      </c>
      <c r="B281" s="4" t="s">
        <v>629</v>
      </c>
      <c r="E281" t="s">
        <v>632</v>
      </c>
      <c r="F281" s="2">
        <v>42.9</v>
      </c>
      <c r="G281" s="1" t="s">
        <v>11</v>
      </c>
      <c r="I281" s="2">
        <v>42.9</v>
      </c>
      <c r="J281" s="4" t="s">
        <v>378</v>
      </c>
    </row>
    <row r="282" spans="1:10" x14ac:dyDescent="0.3">
      <c r="A282" s="3" t="s">
        <v>633</v>
      </c>
      <c r="B282" s="4" t="s">
        <v>629</v>
      </c>
      <c r="E282" t="s">
        <v>634</v>
      </c>
      <c r="F282" s="2">
        <v>1</v>
      </c>
      <c r="G282" s="1" t="s">
        <v>11</v>
      </c>
      <c r="I282" s="2">
        <v>1</v>
      </c>
      <c r="J282" s="4" t="s">
        <v>378</v>
      </c>
    </row>
    <row r="283" spans="1:10" x14ac:dyDescent="0.3">
      <c r="A283" s="3" t="s">
        <v>635</v>
      </c>
      <c r="B283" s="4" t="s">
        <v>629</v>
      </c>
      <c r="E283" t="s">
        <v>636</v>
      </c>
      <c r="F283" s="2">
        <v>39.700000000000003</v>
      </c>
      <c r="G283" s="1" t="s">
        <v>11</v>
      </c>
      <c r="I283" s="2">
        <v>39.700000000000003</v>
      </c>
      <c r="J283" s="4" t="s">
        <v>378</v>
      </c>
    </row>
    <row r="284" spans="1:10" x14ac:dyDescent="0.3">
      <c r="A284" s="3" t="s">
        <v>637</v>
      </c>
      <c r="B284" s="4" t="s">
        <v>629</v>
      </c>
      <c r="E284" s="19" t="s">
        <v>638</v>
      </c>
      <c r="F284" s="2">
        <v>74.930000000000007</v>
      </c>
      <c r="G284" s="1" t="s">
        <v>11</v>
      </c>
      <c r="I284" s="20">
        <v>74.87</v>
      </c>
      <c r="J284" s="4" t="s">
        <v>378</v>
      </c>
    </row>
    <row r="285" spans="1:10" x14ac:dyDescent="0.3">
      <c r="A285" s="3" t="s">
        <v>639</v>
      </c>
      <c r="B285" s="4" t="s">
        <v>629</v>
      </c>
      <c r="E285" s="19" t="s">
        <v>640</v>
      </c>
      <c r="F285" s="17" t="s">
        <v>641</v>
      </c>
      <c r="G285" s="1" t="s">
        <v>11</v>
      </c>
      <c r="I285" s="17" t="s">
        <v>641</v>
      </c>
      <c r="J285" s="4" t="s">
        <v>378</v>
      </c>
    </row>
    <row r="286" spans="1:10" s="10" customFormat="1" x14ac:dyDescent="0.3">
      <c r="A286" s="9"/>
      <c r="B286" s="9"/>
      <c r="F286" s="11"/>
      <c r="H286" s="25"/>
      <c r="I286" s="11"/>
    </row>
    <row r="287" spans="1:10" x14ac:dyDescent="0.3">
      <c r="A287" s="3" t="s">
        <v>642</v>
      </c>
      <c r="B287" s="4" t="s">
        <v>643</v>
      </c>
      <c r="E287" t="s">
        <v>644</v>
      </c>
      <c r="F287" s="2">
        <v>1.7000000000000001E-2</v>
      </c>
      <c r="G287" s="1" t="s">
        <v>11</v>
      </c>
      <c r="I287" s="2">
        <v>1.7000000000000001E-2</v>
      </c>
      <c r="J287" s="4" t="s">
        <v>378</v>
      </c>
    </row>
    <row r="288" spans="1:10" x14ac:dyDescent="0.3">
      <c r="A288" s="3" t="s">
        <v>645</v>
      </c>
      <c r="B288" s="4" t="s">
        <v>643</v>
      </c>
      <c r="E288" t="s">
        <v>646</v>
      </c>
      <c r="F288" s="2">
        <v>22</v>
      </c>
      <c r="G288" s="1" t="s">
        <v>11</v>
      </c>
      <c r="I288" s="2">
        <v>22</v>
      </c>
      <c r="J288" s="4" t="s">
        <v>378</v>
      </c>
    </row>
    <row r="289" spans="1:10" x14ac:dyDescent="0.3">
      <c r="A289" s="3" t="s">
        <v>647</v>
      </c>
      <c r="B289" s="4" t="s">
        <v>643</v>
      </c>
      <c r="E289" t="s">
        <v>648</v>
      </c>
      <c r="F289" s="2">
        <v>11.4</v>
      </c>
      <c r="G289" s="1" t="s">
        <v>11</v>
      </c>
      <c r="I289" s="2">
        <v>11.4</v>
      </c>
      <c r="J289" s="4" t="s">
        <v>378</v>
      </c>
    </row>
    <row r="290" spans="1:10" x14ac:dyDescent="0.3">
      <c r="A290" s="3" t="s">
        <v>649</v>
      </c>
      <c r="B290" s="4" t="s">
        <v>643</v>
      </c>
      <c r="E290" t="s">
        <v>650</v>
      </c>
      <c r="F290" s="2">
        <v>20</v>
      </c>
      <c r="G290" s="1" t="s">
        <v>11</v>
      </c>
      <c r="I290" s="2">
        <v>20</v>
      </c>
      <c r="J290" s="4" t="s">
        <v>378</v>
      </c>
    </row>
    <row r="291" spans="1:10" x14ac:dyDescent="0.3">
      <c r="A291" s="3" t="s">
        <v>651</v>
      </c>
      <c r="B291" s="4" t="s">
        <v>643</v>
      </c>
      <c r="E291" s="19" t="s">
        <v>652</v>
      </c>
      <c r="F291" s="2">
        <v>70.72</v>
      </c>
      <c r="G291" s="1" t="s">
        <v>11</v>
      </c>
      <c r="I291" s="2">
        <v>70.72</v>
      </c>
      <c r="J291" s="4" t="s">
        <v>378</v>
      </c>
    </row>
    <row r="292" spans="1:10" x14ac:dyDescent="0.3">
      <c r="A292" s="3" t="s">
        <v>653</v>
      </c>
      <c r="B292" s="4" t="s">
        <v>643</v>
      </c>
      <c r="E292" s="19" t="s">
        <v>654</v>
      </c>
      <c r="F292" s="17" t="s">
        <v>655</v>
      </c>
      <c r="G292" s="1" t="s">
        <v>11</v>
      </c>
      <c r="I292" s="17" t="s">
        <v>655</v>
      </c>
      <c r="J292" s="4" t="s">
        <v>378</v>
      </c>
    </row>
    <row r="293" spans="1:10" s="10" customFormat="1" x14ac:dyDescent="0.3">
      <c r="A293" s="9"/>
      <c r="B293" s="9"/>
      <c r="F293" s="11"/>
      <c r="H293" s="25"/>
      <c r="I293" s="11"/>
    </row>
    <row r="294" spans="1:10" x14ac:dyDescent="0.3">
      <c r="A294" s="3" t="s">
        <v>656</v>
      </c>
      <c r="B294" s="4" t="s">
        <v>657</v>
      </c>
      <c r="E294" t="s">
        <v>658</v>
      </c>
      <c r="F294" s="2">
        <v>1.6E-2</v>
      </c>
      <c r="G294" s="1" t="s">
        <v>11</v>
      </c>
      <c r="I294" s="2">
        <v>1.6E-2</v>
      </c>
      <c r="J294" s="4" t="s">
        <v>378</v>
      </c>
    </row>
    <row r="295" spans="1:10" x14ac:dyDescent="0.3">
      <c r="A295" s="3" t="s">
        <v>659</v>
      </c>
      <c r="B295" s="4" t="s">
        <v>657</v>
      </c>
      <c r="E295" t="s">
        <v>660</v>
      </c>
      <c r="G295" s="1" t="s">
        <v>11</v>
      </c>
      <c r="J295" s="4" t="s">
        <v>378</v>
      </c>
    </row>
    <row r="296" spans="1:10" x14ac:dyDescent="0.3">
      <c r="A296" s="3" t="s">
        <v>661</v>
      </c>
      <c r="B296" s="4" t="s">
        <v>657</v>
      </c>
      <c r="E296" t="s">
        <v>662</v>
      </c>
      <c r="G296" s="1" t="s">
        <v>11</v>
      </c>
      <c r="J296" s="4" t="s">
        <v>378</v>
      </c>
    </row>
    <row r="297" spans="1:10" x14ac:dyDescent="0.3">
      <c r="A297" s="3" t="s">
        <v>663</v>
      </c>
      <c r="B297" s="4" t="s">
        <v>657</v>
      </c>
      <c r="E297" t="s">
        <v>664</v>
      </c>
      <c r="G297" s="1" t="s">
        <v>11</v>
      </c>
      <c r="J297" s="4" t="s">
        <v>378</v>
      </c>
    </row>
    <row r="298" spans="1:10" x14ac:dyDescent="0.3">
      <c r="A298" s="3" t="s">
        <v>665</v>
      </c>
      <c r="B298" s="4" t="s">
        <v>657</v>
      </c>
      <c r="E298" s="19" t="s">
        <v>666</v>
      </c>
      <c r="F298" s="2">
        <v>90</v>
      </c>
      <c r="G298" s="1" t="s">
        <v>11</v>
      </c>
      <c r="I298" s="2">
        <v>90</v>
      </c>
      <c r="J298" s="4" t="s">
        <v>378</v>
      </c>
    </row>
    <row r="299" spans="1:10" x14ac:dyDescent="0.3">
      <c r="A299" s="3" t="s">
        <v>667</v>
      </c>
      <c r="B299" s="4" t="s">
        <v>657</v>
      </c>
      <c r="E299" s="19" t="s">
        <v>668</v>
      </c>
      <c r="F299" s="17" t="s">
        <v>669</v>
      </c>
      <c r="G299" s="1" t="s">
        <v>11</v>
      </c>
      <c r="I299" s="17" t="s">
        <v>669</v>
      </c>
      <c r="J299" s="4" t="s">
        <v>378</v>
      </c>
    </row>
    <row r="300" spans="1:10" s="10" customFormat="1" x14ac:dyDescent="0.3">
      <c r="A300" s="9"/>
      <c r="B300" s="9"/>
      <c r="F300" s="11"/>
      <c r="H300" s="25"/>
      <c r="I300" s="11"/>
    </row>
    <row r="301" spans="1:10" x14ac:dyDescent="0.3">
      <c r="A301" s="3" t="s">
        <v>670</v>
      </c>
      <c r="B301" s="4" t="s">
        <v>671</v>
      </c>
      <c r="E301" t="s">
        <v>672</v>
      </c>
      <c r="F301" s="2">
        <v>0.02</v>
      </c>
      <c r="G301" s="1" t="s">
        <v>11</v>
      </c>
      <c r="I301" s="2">
        <v>0.02</v>
      </c>
      <c r="J301" s="4" t="s">
        <v>378</v>
      </c>
    </row>
    <row r="302" spans="1:10" x14ac:dyDescent="0.3">
      <c r="A302" s="3" t="s">
        <v>673</v>
      </c>
      <c r="B302" s="4" t="s">
        <v>671</v>
      </c>
      <c r="E302" t="s">
        <v>674</v>
      </c>
      <c r="F302" s="13"/>
      <c r="G302" t="s">
        <v>117</v>
      </c>
      <c r="I302" s="13"/>
      <c r="J302" t="s">
        <v>39</v>
      </c>
    </row>
    <row r="303" spans="1:10" x14ac:dyDescent="0.3">
      <c r="A303" s="3" t="s">
        <v>675</v>
      </c>
      <c r="B303" s="4" t="s">
        <v>671</v>
      </c>
      <c r="E303" t="s">
        <v>676</v>
      </c>
      <c r="F303" s="13"/>
      <c r="G303" t="s">
        <v>117</v>
      </c>
      <c r="I303" s="13"/>
      <c r="J303" t="s">
        <v>39</v>
      </c>
    </row>
    <row r="304" spans="1:10" x14ac:dyDescent="0.3">
      <c r="A304" s="3" t="s">
        <v>677</v>
      </c>
      <c r="B304" s="4" t="s">
        <v>671</v>
      </c>
      <c r="E304" t="s">
        <v>678</v>
      </c>
      <c r="F304" s="13"/>
      <c r="G304" t="s">
        <v>117</v>
      </c>
      <c r="I304" s="13"/>
      <c r="J304" t="s">
        <v>39</v>
      </c>
    </row>
    <row r="305" spans="1:10" x14ac:dyDescent="0.3">
      <c r="A305" s="3" t="s">
        <v>679</v>
      </c>
      <c r="B305" s="4" t="s">
        <v>671</v>
      </c>
      <c r="E305" s="19" t="s">
        <v>680</v>
      </c>
      <c r="F305" s="2">
        <v>0</v>
      </c>
      <c r="G305" s="1" t="s">
        <v>11</v>
      </c>
      <c r="I305" s="2">
        <v>0</v>
      </c>
      <c r="J305" s="4" t="s">
        <v>378</v>
      </c>
    </row>
    <row r="306" spans="1:10" x14ac:dyDescent="0.3">
      <c r="A306" s="3" t="s">
        <v>681</v>
      </c>
      <c r="B306" s="4" t="s">
        <v>671</v>
      </c>
      <c r="E306" s="19" t="s">
        <v>682</v>
      </c>
      <c r="F306" s="17" t="s">
        <v>683</v>
      </c>
      <c r="G306" s="1" t="s">
        <v>11</v>
      </c>
      <c r="I306" s="17" t="s">
        <v>683</v>
      </c>
      <c r="J306" s="4" t="s">
        <v>378</v>
      </c>
    </row>
    <row r="307" spans="1:10" s="10" customFormat="1" x14ac:dyDescent="0.3">
      <c r="A307" s="9"/>
      <c r="B307" s="9"/>
      <c r="F307" s="11"/>
      <c r="H307" s="25"/>
      <c r="I307" s="11"/>
    </row>
    <row r="308" spans="1:10" x14ac:dyDescent="0.3">
      <c r="A308" s="3" t="s">
        <v>684</v>
      </c>
      <c r="B308" s="4" t="s">
        <v>685</v>
      </c>
      <c r="E308" t="s">
        <v>686</v>
      </c>
      <c r="F308" s="2">
        <v>0</v>
      </c>
      <c r="G308" s="1" t="s">
        <v>11</v>
      </c>
      <c r="I308" s="2">
        <v>0</v>
      </c>
      <c r="J308" s="4" t="s">
        <v>378</v>
      </c>
    </row>
    <row r="309" spans="1:10" x14ac:dyDescent="0.3">
      <c r="A309" s="3" t="s">
        <v>687</v>
      </c>
      <c r="B309" s="4" t="s">
        <v>685</v>
      </c>
      <c r="E309" t="s">
        <v>688</v>
      </c>
      <c r="F309" s="13"/>
      <c r="G309" t="s">
        <v>117</v>
      </c>
      <c r="I309" s="13"/>
      <c r="J309" t="s">
        <v>39</v>
      </c>
    </row>
    <row r="310" spans="1:10" x14ac:dyDescent="0.3">
      <c r="A310" s="3" t="s">
        <v>689</v>
      </c>
      <c r="B310" s="4" t="s">
        <v>685</v>
      </c>
      <c r="E310" t="s">
        <v>690</v>
      </c>
      <c r="F310" s="13"/>
      <c r="G310" t="s">
        <v>117</v>
      </c>
      <c r="I310" s="13"/>
      <c r="J310" t="s">
        <v>39</v>
      </c>
    </row>
    <row r="311" spans="1:10" x14ac:dyDescent="0.3">
      <c r="A311" s="3" t="s">
        <v>691</v>
      </c>
      <c r="B311" s="4" t="s">
        <v>685</v>
      </c>
      <c r="E311" t="s">
        <v>692</v>
      </c>
      <c r="F311" s="13"/>
      <c r="G311" t="s">
        <v>117</v>
      </c>
      <c r="I311" s="13"/>
      <c r="J311" t="s">
        <v>39</v>
      </c>
    </row>
    <row r="312" spans="1:10" x14ac:dyDescent="0.3">
      <c r="A312" s="3" t="s">
        <v>693</v>
      </c>
      <c r="B312" s="4" t="s">
        <v>685</v>
      </c>
      <c r="E312" s="19" t="s">
        <v>694</v>
      </c>
      <c r="F312" s="2">
        <v>100</v>
      </c>
      <c r="G312" s="1" t="s">
        <v>11</v>
      </c>
      <c r="I312" s="2">
        <v>100</v>
      </c>
      <c r="J312" s="4" t="s">
        <v>378</v>
      </c>
    </row>
    <row r="313" spans="1:10" x14ac:dyDescent="0.3">
      <c r="A313" s="3" t="s">
        <v>695</v>
      </c>
      <c r="B313" s="4" t="s">
        <v>685</v>
      </c>
      <c r="E313" s="19" t="s">
        <v>696</v>
      </c>
      <c r="F313" s="17" t="s">
        <v>697</v>
      </c>
      <c r="G313" s="1" t="s">
        <v>11</v>
      </c>
      <c r="I313" s="17" t="s">
        <v>697</v>
      </c>
      <c r="J313" s="4" t="s">
        <v>378</v>
      </c>
    </row>
    <row r="314" spans="1:10" s="10" customFormat="1" x14ac:dyDescent="0.3">
      <c r="A314" s="9"/>
      <c r="B314" s="9"/>
      <c r="F314" s="11"/>
      <c r="H314" s="25"/>
      <c r="I314" s="11"/>
    </row>
    <row r="315" spans="1:10" x14ac:dyDescent="0.3">
      <c r="A315" s="3" t="s">
        <v>698</v>
      </c>
      <c r="B315" s="4" t="s">
        <v>699</v>
      </c>
      <c r="E315" t="s">
        <v>700</v>
      </c>
      <c r="F315" s="2">
        <v>4.8800000000000003E-2</v>
      </c>
      <c r="G315" s="1" t="s">
        <v>11</v>
      </c>
      <c r="I315" s="2">
        <v>4.8800000000000003E-2</v>
      </c>
      <c r="J315" s="4" t="s">
        <v>378</v>
      </c>
    </row>
    <row r="316" spans="1:10" x14ac:dyDescent="0.3">
      <c r="A316" s="3" t="s">
        <v>701</v>
      </c>
      <c r="B316" s="4" t="s">
        <v>699</v>
      </c>
      <c r="E316" t="s">
        <v>702</v>
      </c>
      <c r="F316" s="2">
        <v>76</v>
      </c>
      <c r="G316" s="1" t="s">
        <v>11</v>
      </c>
      <c r="I316" s="2">
        <v>76</v>
      </c>
      <c r="J316" s="4" t="s">
        <v>378</v>
      </c>
    </row>
    <row r="317" spans="1:10" x14ac:dyDescent="0.3">
      <c r="A317" s="3" t="s">
        <v>703</v>
      </c>
      <c r="B317" s="4" t="s">
        <v>699</v>
      </c>
      <c r="E317" t="s">
        <v>704</v>
      </c>
      <c r="F317" s="2">
        <v>16.600000000000001</v>
      </c>
      <c r="G317" s="1" t="s">
        <v>11</v>
      </c>
      <c r="I317" s="2">
        <v>16.600000000000001</v>
      </c>
      <c r="J317" s="4" t="s">
        <v>378</v>
      </c>
    </row>
    <row r="318" spans="1:10" x14ac:dyDescent="0.3">
      <c r="A318" s="3" t="s">
        <v>705</v>
      </c>
      <c r="B318" s="4" t="s">
        <v>699</v>
      </c>
      <c r="E318" t="s">
        <v>706</v>
      </c>
      <c r="F318" s="2">
        <v>76</v>
      </c>
      <c r="G318" s="1" t="s">
        <v>11</v>
      </c>
      <c r="I318" s="2">
        <v>76</v>
      </c>
      <c r="J318" s="4" t="s">
        <v>378</v>
      </c>
    </row>
    <row r="319" spans="1:10" x14ac:dyDescent="0.3">
      <c r="A319" s="3" t="s">
        <v>707</v>
      </c>
      <c r="B319" s="4" t="s">
        <v>699</v>
      </c>
      <c r="E319" s="19" t="s">
        <v>708</v>
      </c>
      <c r="F319" s="2">
        <v>141.84</v>
      </c>
      <c r="G319" s="1" t="s">
        <v>11</v>
      </c>
      <c r="I319" s="2">
        <v>141.84</v>
      </c>
      <c r="J319" s="4" t="s">
        <v>378</v>
      </c>
    </row>
    <row r="320" spans="1:10" x14ac:dyDescent="0.3">
      <c r="A320" s="3" t="s">
        <v>709</v>
      </c>
      <c r="B320" s="4" t="s">
        <v>699</v>
      </c>
      <c r="E320" s="19" t="s">
        <v>710</v>
      </c>
      <c r="F320" s="17" t="s">
        <v>711</v>
      </c>
      <c r="G320" s="1" t="s">
        <v>11</v>
      </c>
      <c r="I320" s="17" t="s">
        <v>711</v>
      </c>
      <c r="J320" s="4" t="s">
        <v>378</v>
      </c>
    </row>
    <row r="321" spans="1:10" s="10" customFormat="1" ht="15" customHeight="1" x14ac:dyDescent="0.3">
      <c r="A321" s="9"/>
      <c r="B321" s="9"/>
      <c r="F321" s="11"/>
      <c r="H321" s="25"/>
      <c r="I321" s="11"/>
    </row>
    <row r="322" spans="1:10" x14ac:dyDescent="0.3">
      <c r="A322" s="3" t="s">
        <v>712</v>
      </c>
      <c r="B322" s="4" t="s">
        <v>713</v>
      </c>
      <c r="E322" t="s">
        <v>714</v>
      </c>
      <c r="F322" s="2">
        <v>1.2E-2</v>
      </c>
      <c r="G322" s="1" t="s">
        <v>11</v>
      </c>
      <c r="I322" s="2">
        <v>1.2E-2</v>
      </c>
      <c r="J322" s="4" t="s">
        <v>378</v>
      </c>
    </row>
    <row r="323" spans="1:10" x14ac:dyDescent="0.3">
      <c r="A323" s="3" t="s">
        <v>715</v>
      </c>
      <c r="B323" s="4" t="s">
        <v>713</v>
      </c>
      <c r="E323" t="s">
        <v>716</v>
      </c>
      <c r="F323" s="2">
        <v>5</v>
      </c>
      <c r="G323" s="1" t="s">
        <v>11</v>
      </c>
      <c r="I323" s="2">
        <v>5</v>
      </c>
      <c r="J323" s="4" t="s">
        <v>378</v>
      </c>
    </row>
    <row r="324" spans="1:10" x14ac:dyDescent="0.3">
      <c r="A324" s="3" t="s">
        <v>717</v>
      </c>
      <c r="B324" s="4" t="s">
        <v>713</v>
      </c>
      <c r="E324" t="s">
        <v>718</v>
      </c>
      <c r="F324" s="12" t="s">
        <v>719</v>
      </c>
      <c r="G324" s="23" t="s">
        <v>16</v>
      </c>
      <c r="I324" s="12">
        <f>I322*I323</f>
        <v>0.06</v>
      </c>
      <c r="J324" s="23" t="s">
        <v>16</v>
      </c>
    </row>
    <row r="325" spans="1:10" x14ac:dyDescent="0.3">
      <c r="A325" s="3" t="s">
        <v>720</v>
      </c>
      <c r="B325" s="4" t="s">
        <v>713</v>
      </c>
      <c r="E325" s="19" t="s">
        <v>721</v>
      </c>
      <c r="F325" s="2">
        <v>11.18</v>
      </c>
      <c r="G325" s="1" t="s">
        <v>11</v>
      </c>
      <c r="I325" s="2">
        <v>11.18</v>
      </c>
      <c r="J325" s="4" t="s">
        <v>378</v>
      </c>
    </row>
    <row r="326" spans="1:10" x14ac:dyDescent="0.3">
      <c r="A326" s="3" t="s">
        <v>722</v>
      </c>
      <c r="B326" s="4" t="s">
        <v>713</v>
      </c>
      <c r="E326" s="19" t="s">
        <v>723</v>
      </c>
      <c r="F326" s="17" t="s">
        <v>724</v>
      </c>
      <c r="G326" s="1" t="s">
        <v>11</v>
      </c>
      <c r="I326" s="17" t="s">
        <v>724</v>
      </c>
      <c r="J326" s="4" t="s">
        <v>378</v>
      </c>
    </row>
    <row r="327" spans="1:10" s="10" customFormat="1" x14ac:dyDescent="0.3">
      <c r="A327" s="9"/>
      <c r="B327" s="9"/>
      <c r="F327" s="11"/>
      <c r="H327" s="25"/>
      <c r="I327" s="11"/>
    </row>
    <row r="328" spans="1:10" x14ac:dyDescent="0.3">
      <c r="A328" s="3" t="s">
        <v>725</v>
      </c>
      <c r="B328" s="4" t="s">
        <v>726</v>
      </c>
      <c r="E328" t="s">
        <v>727</v>
      </c>
      <c r="F328" s="2">
        <v>0.1</v>
      </c>
      <c r="G328" s="1" t="s">
        <v>11</v>
      </c>
      <c r="I328" s="2">
        <v>0.1</v>
      </c>
      <c r="J328" s="1" t="s">
        <v>11</v>
      </c>
    </row>
    <row r="329" spans="1:10" s="10" customFormat="1" x14ac:dyDescent="0.3">
      <c r="A329" s="9"/>
      <c r="B329" s="9"/>
      <c r="F329" s="11"/>
      <c r="H329" s="25"/>
      <c r="I329" s="11"/>
    </row>
    <row r="330" spans="1:10" x14ac:dyDescent="0.3">
      <c r="A330" s="3" t="s">
        <v>728</v>
      </c>
      <c r="B330" s="4" t="s">
        <v>729</v>
      </c>
      <c r="E330" t="s">
        <v>730</v>
      </c>
      <c r="F330" s="2" t="s">
        <v>731</v>
      </c>
      <c r="G330" s="1" t="s">
        <v>11</v>
      </c>
      <c r="I330" s="2" t="s">
        <v>731</v>
      </c>
      <c r="J330" s="1" t="s">
        <v>11</v>
      </c>
    </row>
    <row r="331" spans="1:10" x14ac:dyDescent="0.3">
      <c r="A331" s="3" t="s">
        <v>732</v>
      </c>
      <c r="B331" s="4" t="s">
        <v>729</v>
      </c>
      <c r="E331" t="s">
        <v>733</v>
      </c>
      <c r="F331" s="12" t="s">
        <v>734</v>
      </c>
      <c r="G331" s="23" t="s">
        <v>16</v>
      </c>
      <c r="I331" s="12">
        <f>I18*I330</f>
        <v>0.97925692307692291</v>
      </c>
      <c r="J331" s="23" t="s">
        <v>16</v>
      </c>
    </row>
    <row r="332" spans="1:10" s="10" customFormat="1" x14ac:dyDescent="0.3">
      <c r="A332" s="9"/>
      <c r="B332" s="9"/>
      <c r="F332" s="11"/>
      <c r="H332" s="25"/>
      <c r="I332" s="11"/>
    </row>
    <row r="333" spans="1:10" x14ac:dyDescent="0.3">
      <c r="A333" s="3" t="s">
        <v>735</v>
      </c>
      <c r="B333" s="4" t="s">
        <v>736</v>
      </c>
      <c r="E333" t="s">
        <v>737</v>
      </c>
      <c r="F333" s="12" t="s">
        <v>738</v>
      </c>
      <c r="G333" s="23" t="s">
        <v>16</v>
      </c>
      <c r="I333" s="13"/>
      <c r="J333" s="19" t="s">
        <v>39</v>
      </c>
    </row>
    <row r="334" spans="1:10" x14ac:dyDescent="0.3">
      <c r="A334" s="3" t="s">
        <v>739</v>
      </c>
      <c r="B334" s="4" t="s">
        <v>736</v>
      </c>
      <c r="E334" t="s">
        <v>740</v>
      </c>
      <c r="F334" s="12" t="s">
        <v>741</v>
      </c>
      <c r="G334" s="23" t="s">
        <v>16</v>
      </c>
      <c r="I334" s="13"/>
      <c r="J334" s="19" t="s">
        <v>39</v>
      </c>
    </row>
    <row r="335" spans="1:10" x14ac:dyDescent="0.3">
      <c r="A335" s="3" t="s">
        <v>742</v>
      </c>
      <c r="B335" s="4" t="s">
        <v>736</v>
      </c>
      <c r="E335" t="s">
        <v>743</v>
      </c>
      <c r="F335" s="12" t="s">
        <v>744</v>
      </c>
      <c r="G335" s="23" t="s">
        <v>16</v>
      </c>
      <c r="I335" s="13"/>
      <c r="J335" s="19" t="s">
        <v>39</v>
      </c>
    </row>
    <row r="336" spans="1:10" x14ac:dyDescent="0.3">
      <c r="A336" s="3" t="s">
        <v>745</v>
      </c>
      <c r="B336" s="4" t="s">
        <v>736</v>
      </c>
      <c r="E336" t="s">
        <v>746</v>
      </c>
      <c r="F336" s="12" t="s">
        <v>747</v>
      </c>
      <c r="G336" s="23" t="s">
        <v>16</v>
      </c>
      <c r="I336" s="13"/>
      <c r="J336" s="19" t="s">
        <v>39</v>
      </c>
    </row>
    <row r="337" spans="1:10" s="10" customFormat="1" x14ac:dyDescent="0.3">
      <c r="A337" s="9"/>
      <c r="B337" s="9"/>
      <c r="F337" s="11"/>
      <c r="H337" s="25"/>
      <c r="I337" s="11"/>
    </row>
    <row r="338" spans="1:10" x14ac:dyDescent="0.3">
      <c r="A338" s="3" t="s">
        <v>748</v>
      </c>
      <c r="B338" s="4" t="s">
        <v>749</v>
      </c>
      <c r="E338" t="s">
        <v>750</v>
      </c>
      <c r="F338" s="12" t="s">
        <v>751</v>
      </c>
      <c r="G338" s="23" t="s">
        <v>16</v>
      </c>
      <c r="I338" s="13"/>
      <c r="J338" s="19" t="s">
        <v>39</v>
      </c>
    </row>
    <row r="339" spans="1:10" x14ac:dyDescent="0.3">
      <c r="A339" s="3" t="s">
        <v>752</v>
      </c>
      <c r="B339" s="4" t="s">
        <v>749</v>
      </c>
      <c r="E339" t="s">
        <v>753</v>
      </c>
      <c r="F339" s="12" t="s">
        <v>754</v>
      </c>
      <c r="G339" s="23" t="s">
        <v>16</v>
      </c>
      <c r="I339" s="13"/>
      <c r="J339" s="19" t="s">
        <v>39</v>
      </c>
    </row>
    <row r="340" spans="1:10" x14ac:dyDescent="0.3">
      <c r="A340" s="3" t="s">
        <v>755</v>
      </c>
      <c r="B340" s="4" t="s">
        <v>749</v>
      </c>
      <c r="E340" t="s">
        <v>756</v>
      </c>
      <c r="F340" s="12" t="s">
        <v>757</v>
      </c>
      <c r="G340" s="23" t="s">
        <v>16</v>
      </c>
      <c r="I340" s="13"/>
      <c r="J340" s="19" t="s">
        <v>39</v>
      </c>
    </row>
    <row r="341" spans="1:10" x14ac:dyDescent="0.3">
      <c r="A341" s="3" t="s">
        <v>758</v>
      </c>
      <c r="B341" s="4" t="s">
        <v>749</v>
      </c>
      <c r="E341" t="s">
        <v>759</v>
      </c>
      <c r="F341" s="12" t="s">
        <v>760</v>
      </c>
      <c r="G341" s="23" t="s">
        <v>16</v>
      </c>
      <c r="I341" s="13"/>
      <c r="J341" s="19" t="s">
        <v>39</v>
      </c>
    </row>
    <row r="342" spans="1:10" x14ac:dyDescent="0.3">
      <c r="A342" s="3" t="s">
        <v>761</v>
      </c>
      <c r="B342" s="4" t="s">
        <v>749</v>
      </c>
      <c r="E342" t="s">
        <v>762</v>
      </c>
      <c r="F342" s="12" t="s">
        <v>763</v>
      </c>
      <c r="G342" s="23" t="s">
        <v>16</v>
      </c>
      <c r="I342" s="13"/>
      <c r="J342" s="19" t="s">
        <v>39</v>
      </c>
    </row>
    <row r="343" spans="1:10" x14ac:dyDescent="0.3">
      <c r="A343" s="3" t="s">
        <v>764</v>
      </c>
      <c r="B343" s="4" t="s">
        <v>749</v>
      </c>
      <c r="E343" t="s">
        <v>765</v>
      </c>
      <c r="F343" s="12" t="s">
        <v>766</v>
      </c>
      <c r="G343" s="23" t="s">
        <v>16</v>
      </c>
      <c r="I343" s="13"/>
      <c r="J343" s="19" t="s">
        <v>39</v>
      </c>
    </row>
    <row r="344" spans="1:10" x14ac:dyDescent="0.3">
      <c r="A344" s="3" t="s">
        <v>767</v>
      </c>
      <c r="B344" s="4" t="s">
        <v>749</v>
      </c>
      <c r="E344" t="s">
        <v>768</v>
      </c>
      <c r="F344" s="12" t="s">
        <v>769</v>
      </c>
      <c r="G344" s="23" t="s">
        <v>16</v>
      </c>
      <c r="I344" s="13"/>
      <c r="J344" s="19" t="s">
        <v>39</v>
      </c>
    </row>
    <row r="345" spans="1:10" x14ac:dyDescent="0.3">
      <c r="A345" s="3" t="s">
        <v>770</v>
      </c>
      <c r="B345" s="4" t="s">
        <v>749</v>
      </c>
      <c r="E345" s="19" t="s">
        <v>771</v>
      </c>
      <c r="F345" s="2">
        <v>0</v>
      </c>
      <c r="G345" s="1" t="s">
        <v>11</v>
      </c>
      <c r="I345" s="13"/>
      <c r="J345" s="19" t="s">
        <v>39</v>
      </c>
    </row>
    <row r="346" spans="1:10" s="10" customFormat="1" x14ac:dyDescent="0.3">
      <c r="A346" s="9"/>
      <c r="B346" s="9"/>
      <c r="F346" s="11"/>
      <c r="H346" s="25"/>
      <c r="I346" s="11"/>
    </row>
    <row r="347" spans="1:10" x14ac:dyDescent="0.3">
      <c r="A347" s="3" t="s">
        <v>772</v>
      </c>
      <c r="B347" s="4" t="s">
        <v>773</v>
      </c>
      <c r="E347" t="s">
        <v>774</v>
      </c>
      <c r="F347" s="2" t="s">
        <v>775</v>
      </c>
      <c r="G347" s="1" t="s">
        <v>11</v>
      </c>
      <c r="I347" s="13"/>
      <c r="J347" s="19" t="s">
        <v>39</v>
      </c>
    </row>
    <row r="348" spans="1:10" x14ac:dyDescent="0.3">
      <c r="A348" s="3" t="s">
        <v>776</v>
      </c>
      <c r="B348" s="4" t="s">
        <v>773</v>
      </c>
      <c r="E348" t="s">
        <v>777</v>
      </c>
      <c r="F348" s="2" t="s">
        <v>775</v>
      </c>
      <c r="G348" s="1" t="s">
        <v>11</v>
      </c>
      <c r="I348" s="13"/>
      <c r="J348" s="19" t="s">
        <v>39</v>
      </c>
    </row>
    <row r="349" spans="1:10" x14ac:dyDescent="0.3">
      <c r="A349" s="3" t="s">
        <v>778</v>
      </c>
      <c r="B349" s="4" t="s">
        <v>773</v>
      </c>
      <c r="E349" t="s">
        <v>779</v>
      </c>
      <c r="F349" s="2" t="s">
        <v>19</v>
      </c>
      <c r="G349" s="1" t="s">
        <v>11</v>
      </c>
      <c r="I349" s="13"/>
      <c r="J349" s="19" t="s">
        <v>39</v>
      </c>
    </row>
    <row r="350" spans="1:10" x14ac:dyDescent="0.3">
      <c r="A350" s="3" t="s">
        <v>780</v>
      </c>
      <c r="B350" s="4" t="s">
        <v>773</v>
      </c>
      <c r="E350" t="s">
        <v>781</v>
      </c>
      <c r="F350" s="2" t="s">
        <v>782</v>
      </c>
      <c r="G350" s="1" t="s">
        <v>11</v>
      </c>
      <c r="I350" s="13"/>
      <c r="J350" s="19" t="s">
        <v>39</v>
      </c>
    </row>
    <row r="351" spans="1:10" x14ac:dyDescent="0.3">
      <c r="A351" s="3" t="s">
        <v>783</v>
      </c>
      <c r="B351" s="4" t="s">
        <v>773</v>
      </c>
      <c r="E351" t="s">
        <v>784</v>
      </c>
      <c r="F351" s="2" t="b">
        <v>1</v>
      </c>
      <c r="G351" s="1" t="s">
        <v>11</v>
      </c>
      <c r="I351" s="13"/>
      <c r="J351" s="19" t="s">
        <v>39</v>
      </c>
    </row>
    <row r="352" spans="1:10" x14ac:dyDescent="0.3">
      <c r="A352" s="3" t="s">
        <v>785</v>
      </c>
      <c r="B352" s="4" t="s">
        <v>773</v>
      </c>
      <c r="E352" t="s">
        <v>786</v>
      </c>
      <c r="F352" s="2" t="b">
        <v>1</v>
      </c>
      <c r="G352" s="1" t="s">
        <v>11</v>
      </c>
      <c r="I352" s="13"/>
      <c r="J352" s="19" t="s">
        <v>39</v>
      </c>
    </row>
    <row r="353" spans="1:10" x14ac:dyDescent="0.3">
      <c r="A353" s="3" t="s">
        <v>787</v>
      </c>
      <c r="B353" s="4" t="s">
        <v>773</v>
      </c>
      <c r="E353" t="s">
        <v>788</v>
      </c>
      <c r="F353" s="12" t="s">
        <v>789</v>
      </c>
      <c r="G353" s="23" t="s">
        <v>16</v>
      </c>
      <c r="I353" s="13"/>
      <c r="J353" s="19" t="s">
        <v>39</v>
      </c>
    </row>
    <row r="354" spans="1:10" x14ac:dyDescent="0.3">
      <c r="A354" s="3" t="s">
        <v>790</v>
      </c>
      <c r="B354" s="4" t="s">
        <v>773</v>
      </c>
      <c r="E354" t="s">
        <v>791</v>
      </c>
      <c r="F354" s="12" t="s">
        <v>19</v>
      </c>
      <c r="G354" s="23" t="s">
        <v>16</v>
      </c>
      <c r="I354" s="13"/>
      <c r="J354" s="19" t="s">
        <v>39</v>
      </c>
    </row>
    <row r="355" spans="1:10" x14ac:dyDescent="0.3">
      <c r="A355" s="3" t="s">
        <v>792</v>
      </c>
      <c r="B355" s="4" t="s">
        <v>773</v>
      </c>
      <c r="E355" t="s">
        <v>793</v>
      </c>
      <c r="F355" s="12" t="s">
        <v>794</v>
      </c>
      <c r="G355" s="23" t="s">
        <v>16</v>
      </c>
      <c r="I355" s="13"/>
      <c r="J355" s="19" t="s">
        <v>39</v>
      </c>
    </row>
    <row r="356" spans="1:10" x14ac:dyDescent="0.3">
      <c r="A356" s="3" t="s">
        <v>795</v>
      </c>
      <c r="B356" s="4" t="s">
        <v>773</v>
      </c>
      <c r="E356" t="s">
        <v>796</v>
      </c>
      <c r="F356" s="12" t="s">
        <v>336</v>
      </c>
      <c r="G356" s="23" t="s">
        <v>16</v>
      </c>
      <c r="I356" s="13"/>
      <c r="J356" s="19" t="s">
        <v>39</v>
      </c>
    </row>
    <row r="357" spans="1:10" x14ac:dyDescent="0.3">
      <c r="A357" s="3" t="s">
        <v>797</v>
      </c>
      <c r="B357" s="4" t="s">
        <v>773</v>
      </c>
      <c r="E357" t="s">
        <v>798</v>
      </c>
      <c r="F357" s="12" t="s">
        <v>775</v>
      </c>
      <c r="G357" s="23" t="s">
        <v>16</v>
      </c>
      <c r="I357" s="13"/>
      <c r="J357" s="19" t="s">
        <v>39</v>
      </c>
    </row>
    <row r="358" spans="1:10" x14ac:dyDescent="0.3">
      <c r="A358" s="3" t="s">
        <v>799</v>
      </c>
      <c r="B358" s="4" t="s">
        <v>773</v>
      </c>
      <c r="E358" t="s">
        <v>800</v>
      </c>
      <c r="F358" s="12" t="s">
        <v>801</v>
      </c>
      <c r="G358" s="23" t="s">
        <v>16</v>
      </c>
      <c r="I358" s="13"/>
      <c r="J358" s="19" t="s">
        <v>39</v>
      </c>
    </row>
    <row r="359" spans="1:10" x14ac:dyDescent="0.3">
      <c r="A359" s="3" t="s">
        <v>802</v>
      </c>
      <c r="B359" s="4" t="s">
        <v>773</v>
      </c>
      <c r="E359" t="s">
        <v>803</v>
      </c>
      <c r="F359" s="12" t="s">
        <v>804</v>
      </c>
      <c r="G359" s="23" t="s">
        <v>16</v>
      </c>
      <c r="I359" s="13"/>
      <c r="J359" s="19" t="s">
        <v>39</v>
      </c>
    </row>
    <row r="360" spans="1:10" x14ac:dyDescent="0.3">
      <c r="A360" s="3" t="s">
        <v>805</v>
      </c>
      <c r="B360" s="4" t="s">
        <v>773</v>
      </c>
      <c r="E360" t="s">
        <v>806</v>
      </c>
      <c r="G360" s="1" t="s">
        <v>11</v>
      </c>
      <c r="I360" s="13"/>
      <c r="J360" s="19" t="s">
        <v>39</v>
      </c>
    </row>
    <row r="361" spans="1:10" x14ac:dyDescent="0.3">
      <c r="F361" s="13"/>
      <c r="I361" s="13"/>
    </row>
    <row r="362" spans="1:10" x14ac:dyDescent="0.3">
      <c r="F362" s="13"/>
      <c r="I362" s="13"/>
    </row>
    <row r="363" spans="1:10" x14ac:dyDescent="0.3">
      <c r="F363" s="13"/>
      <c r="I363" s="13"/>
    </row>
    <row r="364" spans="1:10" x14ac:dyDescent="0.3">
      <c r="F364" s="13"/>
      <c r="I364" s="13"/>
    </row>
    <row r="365" spans="1:10" x14ac:dyDescent="0.3">
      <c r="F365" s="13"/>
      <c r="I365" s="13"/>
    </row>
    <row r="366" spans="1:10" x14ac:dyDescent="0.3">
      <c r="F366" s="13"/>
      <c r="I366" s="13"/>
    </row>
    <row r="367" spans="1:10" x14ac:dyDescent="0.3">
      <c r="F367" s="13"/>
      <c r="I367" s="13"/>
    </row>
    <row r="368" spans="1:10" x14ac:dyDescent="0.3">
      <c r="F368" s="13"/>
      <c r="I368" s="13"/>
    </row>
    <row r="369" spans="6:9" x14ac:dyDescent="0.3">
      <c r="F369" s="13"/>
      <c r="I369" s="13"/>
    </row>
    <row r="370" spans="6:9" x14ac:dyDescent="0.3">
      <c r="F370" s="13"/>
      <c r="I370" s="13"/>
    </row>
    <row r="371" spans="6:9" x14ac:dyDescent="0.3">
      <c r="F371" s="13"/>
      <c r="I371" s="13"/>
    </row>
    <row r="372" spans="6:9" x14ac:dyDescent="0.3">
      <c r="F372" s="13"/>
      <c r="I372" s="13"/>
    </row>
    <row r="373" spans="6:9" x14ac:dyDescent="0.3">
      <c r="F373" s="13"/>
      <c r="I373" s="13"/>
    </row>
    <row r="374" spans="6:9" x14ac:dyDescent="0.3">
      <c r="F374" s="13"/>
      <c r="I374" s="13"/>
    </row>
    <row r="375" spans="6:9" x14ac:dyDescent="0.3">
      <c r="F375" s="13"/>
      <c r="I375" s="13"/>
    </row>
    <row r="376" spans="6:9" x14ac:dyDescent="0.3">
      <c r="F376" s="13"/>
      <c r="I376" s="13"/>
    </row>
    <row r="377" spans="6:9" x14ac:dyDescent="0.3">
      <c r="F377" s="13"/>
      <c r="I377" s="13"/>
    </row>
    <row r="378" spans="6:9" x14ac:dyDescent="0.3">
      <c r="F378" s="13"/>
      <c r="I378" s="13"/>
    </row>
    <row r="379" spans="6:9" x14ac:dyDescent="0.3">
      <c r="F379" s="13"/>
      <c r="I379" s="13"/>
    </row>
    <row r="380" spans="6:9" x14ac:dyDescent="0.3">
      <c r="F380" s="13"/>
      <c r="I380" s="13"/>
    </row>
    <row r="381" spans="6:9" x14ac:dyDescent="0.3">
      <c r="F381" s="13"/>
      <c r="I381" s="13"/>
    </row>
    <row r="382" spans="6:9" x14ac:dyDescent="0.3">
      <c r="F382" s="13"/>
      <c r="I382" s="13"/>
    </row>
    <row r="383" spans="6:9" x14ac:dyDescent="0.3">
      <c r="F383" s="13"/>
      <c r="I383" s="13"/>
    </row>
    <row r="384" spans="6:9" x14ac:dyDescent="0.3">
      <c r="F384" s="13"/>
      <c r="I384" s="13"/>
    </row>
    <row r="385" spans="6:9" x14ac:dyDescent="0.3">
      <c r="F385" s="13"/>
      <c r="I385" s="13"/>
    </row>
    <row r="386" spans="6:9" x14ac:dyDescent="0.3">
      <c r="F386" s="13"/>
      <c r="I386" s="13"/>
    </row>
    <row r="387" spans="6:9" x14ac:dyDescent="0.3">
      <c r="F387" s="13"/>
      <c r="I387" s="13"/>
    </row>
    <row r="388" spans="6:9" x14ac:dyDescent="0.3">
      <c r="F388" s="13"/>
      <c r="I388" s="13"/>
    </row>
    <row r="389" spans="6:9" x14ac:dyDescent="0.3">
      <c r="F389" s="13"/>
      <c r="I389" s="13"/>
    </row>
    <row r="390" spans="6:9" x14ac:dyDescent="0.3">
      <c r="F390" s="13"/>
      <c r="I390" s="13"/>
    </row>
    <row r="391" spans="6:9" x14ac:dyDescent="0.3">
      <c r="F391" s="13"/>
      <c r="I391" s="13"/>
    </row>
    <row r="392" spans="6:9" x14ac:dyDescent="0.3">
      <c r="F392" s="13"/>
      <c r="I392" s="13"/>
    </row>
    <row r="393" spans="6:9" x14ac:dyDescent="0.3">
      <c r="F393" s="13"/>
      <c r="I393" s="13"/>
    </row>
    <row r="394" spans="6:9" x14ac:dyDescent="0.3">
      <c r="F394" s="13"/>
      <c r="I394" s="13"/>
    </row>
    <row r="395" spans="6:9" x14ac:dyDescent="0.3">
      <c r="F395" s="13"/>
      <c r="I395" s="13"/>
    </row>
    <row r="396" spans="6:9" x14ac:dyDescent="0.3">
      <c r="F396" s="13"/>
      <c r="I396" s="13"/>
    </row>
    <row r="397" spans="6:9" x14ac:dyDescent="0.3">
      <c r="F397" s="13"/>
      <c r="I397" s="13"/>
    </row>
    <row r="398" spans="6:9" x14ac:dyDescent="0.3">
      <c r="F398" s="13"/>
      <c r="I398" s="13"/>
    </row>
    <row r="399" spans="6:9" x14ac:dyDescent="0.3">
      <c r="F399" s="13"/>
      <c r="I399" s="13"/>
    </row>
    <row r="400" spans="6:9" x14ac:dyDescent="0.3">
      <c r="F400" s="13"/>
      <c r="I400" s="13"/>
    </row>
    <row r="401" spans="6:9" x14ac:dyDescent="0.3">
      <c r="F401" s="13"/>
      <c r="I401" s="13"/>
    </row>
    <row r="402" spans="6:9" x14ac:dyDescent="0.3">
      <c r="F402" s="13"/>
      <c r="I402" s="13"/>
    </row>
    <row r="403" spans="6:9" x14ac:dyDescent="0.3">
      <c r="F403" s="13"/>
      <c r="I403" s="13"/>
    </row>
    <row r="404" spans="6:9" x14ac:dyDescent="0.3">
      <c r="F404" s="13"/>
      <c r="I404" s="13"/>
    </row>
    <row r="405" spans="6:9" x14ac:dyDescent="0.3">
      <c r="F405" s="13"/>
      <c r="I405" s="13"/>
    </row>
    <row r="406" spans="6:9" x14ac:dyDescent="0.3">
      <c r="F406" s="13"/>
      <c r="I406" s="13"/>
    </row>
    <row r="407" spans="6:9" x14ac:dyDescent="0.3">
      <c r="F407" s="13"/>
      <c r="I407" s="13"/>
    </row>
    <row r="408" spans="6:9" x14ac:dyDescent="0.3">
      <c r="F408" s="13"/>
      <c r="I408" s="13"/>
    </row>
    <row r="409" spans="6:9" x14ac:dyDescent="0.3">
      <c r="F409" s="13"/>
      <c r="I409" s="13"/>
    </row>
    <row r="410" spans="6:9" x14ac:dyDescent="0.3">
      <c r="F410" s="13"/>
      <c r="I410" s="13"/>
    </row>
    <row r="411" spans="6:9" x14ac:dyDescent="0.3">
      <c r="F411" s="13"/>
      <c r="I411" s="13"/>
    </row>
    <row r="412" spans="6:9" x14ac:dyDescent="0.3">
      <c r="F412" s="13"/>
      <c r="I412" s="13"/>
    </row>
    <row r="413" spans="6:9" x14ac:dyDescent="0.3">
      <c r="F413" s="13"/>
      <c r="I413" s="13"/>
    </row>
    <row r="414" spans="6:9" x14ac:dyDescent="0.3">
      <c r="F414" s="13"/>
      <c r="I414" s="13"/>
    </row>
    <row r="415" spans="6:9" x14ac:dyDescent="0.3">
      <c r="F415" s="13"/>
      <c r="I415" s="13"/>
    </row>
    <row r="416" spans="6:9" x14ac:dyDescent="0.3">
      <c r="F416" s="13"/>
      <c r="I416" s="13"/>
    </row>
    <row r="417" spans="6:9" x14ac:dyDescent="0.3">
      <c r="F417" s="13"/>
      <c r="I417" s="13"/>
    </row>
    <row r="418" spans="6:9" x14ac:dyDescent="0.3">
      <c r="F418" s="13"/>
      <c r="I418" s="13"/>
    </row>
    <row r="419" spans="6:9" x14ac:dyDescent="0.3">
      <c r="F419" s="13"/>
      <c r="I419" s="13"/>
    </row>
    <row r="420" spans="6:9" x14ac:dyDescent="0.3">
      <c r="F420" s="13"/>
      <c r="I420" s="13"/>
    </row>
    <row r="421" spans="6:9" x14ac:dyDescent="0.3">
      <c r="F421" s="13"/>
      <c r="I421" s="13"/>
    </row>
    <row r="422" spans="6:9" x14ac:dyDescent="0.3">
      <c r="F422" s="13"/>
      <c r="I422" s="13"/>
    </row>
    <row r="423" spans="6:9" x14ac:dyDescent="0.3">
      <c r="F423" s="13"/>
      <c r="I423" s="13"/>
    </row>
    <row r="424" spans="6:9" x14ac:dyDescent="0.3">
      <c r="F424" s="13"/>
      <c r="I424" s="13"/>
    </row>
    <row r="425" spans="6:9" x14ac:dyDescent="0.3">
      <c r="F425" s="13"/>
      <c r="I425" s="13"/>
    </row>
    <row r="426" spans="6:9" x14ac:dyDescent="0.3">
      <c r="F426" s="13"/>
      <c r="I426" s="13"/>
    </row>
    <row r="427" spans="6:9" x14ac:dyDescent="0.3">
      <c r="F427" s="13"/>
      <c r="I427" s="13"/>
    </row>
    <row r="428" spans="6:9" x14ac:dyDescent="0.3">
      <c r="F428" s="13"/>
      <c r="I428" s="13"/>
    </row>
    <row r="429" spans="6:9" x14ac:dyDescent="0.3">
      <c r="F429" s="13"/>
      <c r="I429" s="13"/>
    </row>
    <row r="430" spans="6:9" x14ac:dyDescent="0.3">
      <c r="F430" s="13"/>
      <c r="I430" s="13"/>
    </row>
    <row r="431" spans="6:9" x14ac:dyDescent="0.3">
      <c r="F431" s="13"/>
      <c r="I431" s="13"/>
    </row>
    <row r="432" spans="6:9" x14ac:dyDescent="0.3">
      <c r="F432" s="13"/>
      <c r="I432" s="13"/>
    </row>
    <row r="433" spans="6:9" x14ac:dyDescent="0.3">
      <c r="F433" s="13"/>
      <c r="I433" s="13"/>
    </row>
    <row r="434" spans="6:9" x14ac:dyDescent="0.3">
      <c r="F434" s="13"/>
      <c r="I434" s="13"/>
    </row>
    <row r="435" spans="6:9" x14ac:dyDescent="0.3">
      <c r="F435" s="13"/>
      <c r="I435" s="13"/>
    </row>
    <row r="436" spans="6:9" x14ac:dyDescent="0.3">
      <c r="F436" s="13"/>
      <c r="I436" s="13"/>
    </row>
    <row r="437" spans="6:9" x14ac:dyDescent="0.3">
      <c r="F437" s="13"/>
      <c r="I437" s="13"/>
    </row>
    <row r="438" spans="6:9" x14ac:dyDescent="0.3">
      <c r="F438" s="13"/>
      <c r="I438" s="13"/>
    </row>
    <row r="439" spans="6:9" x14ac:dyDescent="0.3">
      <c r="F439" s="13"/>
      <c r="I439" s="13"/>
    </row>
    <row r="440" spans="6:9" x14ac:dyDescent="0.3">
      <c r="F440" s="13"/>
      <c r="I440" s="13"/>
    </row>
    <row r="441" spans="6:9" x14ac:dyDescent="0.3">
      <c r="F441" s="13"/>
      <c r="I441" s="13"/>
    </row>
    <row r="442" spans="6:9" x14ac:dyDescent="0.3">
      <c r="F442" s="13"/>
      <c r="I442" s="13"/>
    </row>
    <row r="443" spans="6:9" x14ac:dyDescent="0.3">
      <c r="F443" s="13"/>
      <c r="I443" s="13"/>
    </row>
    <row r="444" spans="6:9" x14ac:dyDescent="0.3">
      <c r="F444" s="13"/>
      <c r="I444" s="13"/>
    </row>
    <row r="445" spans="6:9" x14ac:dyDescent="0.3">
      <c r="F445" s="13"/>
      <c r="I445" s="13"/>
    </row>
    <row r="446" spans="6:9" x14ac:dyDescent="0.3">
      <c r="F446" s="13"/>
      <c r="I446" s="13"/>
    </row>
    <row r="447" spans="6:9" x14ac:dyDescent="0.3">
      <c r="F447" s="13"/>
      <c r="I447" s="13"/>
    </row>
    <row r="448" spans="6:9" x14ac:dyDescent="0.3">
      <c r="F448" s="13"/>
      <c r="I448" s="13"/>
    </row>
    <row r="449" spans="6:9" x14ac:dyDescent="0.3">
      <c r="F449" s="13"/>
      <c r="I449" s="13"/>
    </row>
    <row r="450" spans="6:9" x14ac:dyDescent="0.3">
      <c r="F450" s="13"/>
      <c r="I450" s="13"/>
    </row>
    <row r="451" spans="6:9" x14ac:dyDescent="0.3">
      <c r="F451" s="13"/>
      <c r="I451" s="13"/>
    </row>
    <row r="452" spans="6:9" x14ac:dyDescent="0.3">
      <c r="F452" s="13"/>
      <c r="I452" s="13"/>
    </row>
    <row r="453" spans="6:9" x14ac:dyDescent="0.3">
      <c r="F453" s="13"/>
      <c r="I453" s="13"/>
    </row>
    <row r="454" spans="6:9" x14ac:dyDescent="0.3">
      <c r="F454" s="13"/>
      <c r="I454" s="13"/>
    </row>
    <row r="455" spans="6:9" x14ac:dyDescent="0.3">
      <c r="F455" s="13"/>
      <c r="I455" s="13"/>
    </row>
    <row r="456" spans="6:9" x14ac:dyDescent="0.3">
      <c r="F456" s="13"/>
      <c r="I456" s="13"/>
    </row>
    <row r="457" spans="6:9" x14ac:dyDescent="0.3">
      <c r="F457" s="13"/>
      <c r="I457" s="13"/>
    </row>
    <row r="458" spans="6:9" x14ac:dyDescent="0.3">
      <c r="F458" s="13"/>
      <c r="I458" s="13"/>
    </row>
    <row r="459" spans="6:9" x14ac:dyDescent="0.3">
      <c r="F459" s="13"/>
      <c r="I459" s="13"/>
    </row>
    <row r="460" spans="6:9" x14ac:dyDescent="0.3">
      <c r="F460" s="13"/>
      <c r="I460" s="13"/>
    </row>
    <row r="461" spans="6:9" x14ac:dyDescent="0.3">
      <c r="F461" s="13"/>
      <c r="I461" s="13"/>
    </row>
    <row r="462" spans="6:9" x14ac:dyDescent="0.3">
      <c r="F462" s="13"/>
      <c r="I462" s="13"/>
    </row>
    <row r="463" spans="6:9" x14ac:dyDescent="0.3">
      <c r="F463" s="13"/>
      <c r="I463" s="13"/>
    </row>
    <row r="464" spans="6:9" x14ac:dyDescent="0.3">
      <c r="F464" s="13"/>
      <c r="I464" s="13"/>
    </row>
    <row r="465" spans="6:9" x14ac:dyDescent="0.3">
      <c r="F465" s="13"/>
      <c r="I465" s="13"/>
    </row>
    <row r="466" spans="6:9" x14ac:dyDescent="0.3">
      <c r="F466" s="13"/>
      <c r="I466" s="13"/>
    </row>
    <row r="467" spans="6:9" x14ac:dyDescent="0.3">
      <c r="F467" s="13"/>
      <c r="I467" s="13"/>
    </row>
    <row r="468" spans="6:9" x14ac:dyDescent="0.3">
      <c r="F468" s="13"/>
      <c r="I468" s="13"/>
    </row>
    <row r="469" spans="6:9" x14ac:dyDescent="0.3">
      <c r="F469" s="13"/>
      <c r="I469" s="13"/>
    </row>
    <row r="470" spans="6:9" x14ac:dyDescent="0.3">
      <c r="F470" s="13"/>
      <c r="I470" s="13"/>
    </row>
    <row r="471" spans="6:9" x14ac:dyDescent="0.3">
      <c r="F471" s="13"/>
      <c r="I471" s="13"/>
    </row>
    <row r="472" spans="6:9" x14ac:dyDescent="0.3">
      <c r="F472" s="13"/>
      <c r="I472" s="13"/>
    </row>
    <row r="473" spans="6:9" x14ac:dyDescent="0.3">
      <c r="F473" s="13"/>
      <c r="I473" s="13"/>
    </row>
    <row r="474" spans="6:9" x14ac:dyDescent="0.3">
      <c r="F474" s="13"/>
      <c r="I474" s="13"/>
    </row>
    <row r="475" spans="6:9" x14ac:dyDescent="0.3">
      <c r="F475" s="13"/>
      <c r="I475" s="13"/>
    </row>
    <row r="476" spans="6:9" x14ac:dyDescent="0.3">
      <c r="F476" s="13"/>
      <c r="I476" s="13"/>
    </row>
    <row r="477" spans="6:9" x14ac:dyDescent="0.3">
      <c r="F477" s="13"/>
      <c r="I477" s="13"/>
    </row>
    <row r="478" spans="6:9" x14ac:dyDescent="0.3">
      <c r="F478" s="13"/>
      <c r="I478" s="13"/>
    </row>
    <row r="479" spans="6:9" x14ac:dyDescent="0.3">
      <c r="F479" s="13"/>
      <c r="I479" s="13"/>
    </row>
    <row r="480" spans="6:9" x14ac:dyDescent="0.3">
      <c r="F480" s="13"/>
      <c r="I480" s="13"/>
    </row>
    <row r="481" spans="6:9" x14ac:dyDescent="0.3">
      <c r="F481" s="13"/>
      <c r="I481" s="13"/>
    </row>
    <row r="482" spans="6:9" x14ac:dyDescent="0.3">
      <c r="F482" s="13"/>
      <c r="I482" s="13"/>
    </row>
    <row r="483" spans="6:9" x14ac:dyDescent="0.3">
      <c r="F483" s="13"/>
      <c r="I483" s="13"/>
    </row>
    <row r="484" spans="6:9" x14ac:dyDescent="0.3">
      <c r="F484" s="13"/>
      <c r="I484" s="13"/>
    </row>
    <row r="485" spans="6:9" x14ac:dyDescent="0.3">
      <c r="F485" s="13"/>
      <c r="I485" s="13"/>
    </row>
    <row r="486" spans="6:9" x14ac:dyDescent="0.3">
      <c r="F486" s="13"/>
      <c r="I486" s="13"/>
    </row>
    <row r="487" spans="6:9" x14ac:dyDescent="0.3">
      <c r="F487" s="13"/>
      <c r="I487" s="13"/>
    </row>
    <row r="488" spans="6:9" x14ac:dyDescent="0.3">
      <c r="F488" s="13"/>
      <c r="I488" s="13"/>
    </row>
    <row r="489" spans="6:9" x14ac:dyDescent="0.3">
      <c r="F489" s="13"/>
      <c r="I489" s="13"/>
    </row>
    <row r="490" spans="6:9" x14ac:dyDescent="0.3">
      <c r="F490" s="13"/>
      <c r="I490" s="13"/>
    </row>
    <row r="491" spans="6:9" x14ac:dyDescent="0.3">
      <c r="F491" s="13"/>
      <c r="I491" s="13"/>
    </row>
    <row r="492" spans="6:9" x14ac:dyDescent="0.3">
      <c r="F492" s="13"/>
      <c r="I492" s="13"/>
    </row>
    <row r="493" spans="6:9" x14ac:dyDescent="0.3">
      <c r="F493" s="13"/>
      <c r="I493" s="13"/>
    </row>
    <row r="494" spans="6:9" x14ac:dyDescent="0.3">
      <c r="F494" s="13"/>
      <c r="I494" s="13"/>
    </row>
    <row r="495" spans="6:9" x14ac:dyDescent="0.3">
      <c r="F495" s="13"/>
      <c r="I495" s="13"/>
    </row>
    <row r="496" spans="6:9" x14ac:dyDescent="0.3">
      <c r="F496" s="13"/>
      <c r="I496" s="13"/>
    </row>
    <row r="497" spans="6:9" x14ac:dyDescent="0.3">
      <c r="F497" s="13"/>
      <c r="I497" s="13"/>
    </row>
    <row r="498" spans="6:9" x14ac:dyDescent="0.3">
      <c r="F498" s="13"/>
      <c r="I498" s="13"/>
    </row>
    <row r="499" spans="6:9" x14ac:dyDescent="0.3">
      <c r="F499" s="13"/>
      <c r="I499" s="13"/>
    </row>
    <row r="500" spans="6:9" x14ac:dyDescent="0.3">
      <c r="F500" s="13"/>
      <c r="I500" s="13"/>
    </row>
    <row r="501" spans="6:9" x14ac:dyDescent="0.3">
      <c r="F501" s="13"/>
      <c r="I501" s="13"/>
    </row>
    <row r="502" spans="6:9" x14ac:dyDescent="0.3">
      <c r="F502" s="13"/>
      <c r="I502" s="13"/>
    </row>
    <row r="503" spans="6:9" x14ac:dyDescent="0.3">
      <c r="F503" s="13"/>
      <c r="I503" s="13"/>
    </row>
    <row r="504" spans="6:9" x14ac:dyDescent="0.3">
      <c r="F504" s="13"/>
      <c r="I504" s="13"/>
    </row>
    <row r="505" spans="6:9" x14ac:dyDescent="0.3">
      <c r="F505" s="13"/>
      <c r="I505" s="13"/>
    </row>
    <row r="506" spans="6:9" x14ac:dyDescent="0.3">
      <c r="F506" s="13"/>
      <c r="I506" s="13"/>
    </row>
    <row r="507" spans="6:9" x14ac:dyDescent="0.3">
      <c r="F507" s="13"/>
      <c r="I507" s="13"/>
    </row>
    <row r="508" spans="6:9" x14ac:dyDescent="0.3">
      <c r="F508" s="13"/>
      <c r="I508" s="13"/>
    </row>
    <row r="509" spans="6:9" x14ac:dyDescent="0.3">
      <c r="F509" s="13"/>
      <c r="I509" s="13"/>
    </row>
    <row r="510" spans="6:9" x14ac:dyDescent="0.3">
      <c r="F510" s="13"/>
      <c r="I510" s="13"/>
    </row>
    <row r="511" spans="6:9" x14ac:dyDescent="0.3">
      <c r="F511" s="13"/>
      <c r="I511" s="13"/>
    </row>
    <row r="512" spans="6:9" x14ac:dyDescent="0.3">
      <c r="F512" s="13"/>
      <c r="I512" s="13"/>
    </row>
    <row r="513" spans="6:9" x14ac:dyDescent="0.3">
      <c r="F513" s="13"/>
      <c r="I513" s="13"/>
    </row>
    <row r="514" spans="6:9" x14ac:dyDescent="0.3">
      <c r="F514" s="13"/>
      <c r="I514" s="13"/>
    </row>
    <row r="515" spans="6:9" x14ac:dyDescent="0.3">
      <c r="F515" s="13"/>
      <c r="I515" s="13"/>
    </row>
    <row r="516" spans="6:9" x14ac:dyDescent="0.3">
      <c r="F516" s="13"/>
      <c r="I516" s="13"/>
    </row>
    <row r="517" spans="6:9" x14ac:dyDescent="0.3">
      <c r="F517" s="13"/>
      <c r="I517" s="13"/>
    </row>
    <row r="518" spans="6:9" x14ac:dyDescent="0.3">
      <c r="F518" s="13"/>
      <c r="I518" s="13"/>
    </row>
    <row r="519" spans="6:9" x14ac:dyDescent="0.3">
      <c r="F519" s="13"/>
      <c r="I519" s="13"/>
    </row>
    <row r="520" spans="6:9" x14ac:dyDescent="0.3">
      <c r="F520" s="13"/>
      <c r="I520" s="13"/>
    </row>
    <row r="521" spans="6:9" x14ac:dyDescent="0.3">
      <c r="F521" s="13"/>
      <c r="I521" s="13"/>
    </row>
    <row r="522" spans="6:9" x14ac:dyDescent="0.3">
      <c r="F522" s="13"/>
      <c r="I522" s="13"/>
    </row>
    <row r="523" spans="6:9" x14ac:dyDescent="0.3">
      <c r="F523" s="13"/>
      <c r="I523" s="13"/>
    </row>
    <row r="524" spans="6:9" x14ac:dyDescent="0.3">
      <c r="F524" s="13"/>
      <c r="I524" s="13"/>
    </row>
    <row r="525" spans="6:9" x14ac:dyDescent="0.3">
      <c r="F525" s="13"/>
      <c r="I525" s="13"/>
    </row>
    <row r="526" spans="6:9" x14ac:dyDescent="0.3">
      <c r="F526" s="13"/>
      <c r="I526" s="13"/>
    </row>
    <row r="527" spans="6:9" x14ac:dyDescent="0.3">
      <c r="F527" s="13"/>
      <c r="I527" s="13"/>
    </row>
    <row r="528" spans="6:9" x14ac:dyDescent="0.3">
      <c r="F528" s="13"/>
      <c r="I528" s="13"/>
    </row>
    <row r="529" spans="6:9" x14ac:dyDescent="0.3">
      <c r="F529" s="13"/>
      <c r="I529" s="13"/>
    </row>
    <row r="530" spans="6:9" x14ac:dyDescent="0.3">
      <c r="F530" s="13"/>
      <c r="I530" s="13"/>
    </row>
    <row r="531" spans="6:9" x14ac:dyDescent="0.3">
      <c r="F531" s="13"/>
      <c r="I531" s="13"/>
    </row>
    <row r="532" spans="6:9" x14ac:dyDescent="0.3">
      <c r="F532" s="13"/>
      <c r="I532" s="13"/>
    </row>
    <row r="533" spans="6:9" x14ac:dyDescent="0.3">
      <c r="F533" s="13"/>
      <c r="I533" s="13"/>
    </row>
    <row r="534" spans="6:9" x14ac:dyDescent="0.3">
      <c r="F534" s="13"/>
      <c r="I534" s="13"/>
    </row>
    <row r="535" spans="6:9" x14ac:dyDescent="0.3">
      <c r="F535" s="13"/>
      <c r="I535" s="13"/>
    </row>
    <row r="536" spans="6:9" x14ac:dyDescent="0.3">
      <c r="F536" s="13"/>
      <c r="I536" s="13"/>
    </row>
    <row r="537" spans="6:9" x14ac:dyDescent="0.3">
      <c r="F537" s="13"/>
      <c r="I537" s="13"/>
    </row>
    <row r="538" spans="6:9" x14ac:dyDescent="0.3">
      <c r="F538" s="13"/>
      <c r="I538" s="13"/>
    </row>
    <row r="539" spans="6:9" x14ac:dyDescent="0.3">
      <c r="F539" s="13"/>
      <c r="I539" s="13"/>
    </row>
    <row r="540" spans="6:9" x14ac:dyDescent="0.3">
      <c r="F540" s="13"/>
      <c r="I540" s="13"/>
    </row>
    <row r="541" spans="6:9" x14ac:dyDescent="0.3">
      <c r="F541" s="13"/>
      <c r="I541" s="13"/>
    </row>
    <row r="542" spans="6:9" x14ac:dyDescent="0.3">
      <c r="F542" s="13"/>
      <c r="I542" s="13"/>
    </row>
    <row r="543" spans="6:9" x14ac:dyDescent="0.3">
      <c r="F543" s="13"/>
      <c r="I543" s="13"/>
    </row>
    <row r="544" spans="6:9" x14ac:dyDescent="0.3">
      <c r="F544" s="13"/>
      <c r="I544" s="13"/>
    </row>
    <row r="545" spans="6:9" x14ac:dyDescent="0.3">
      <c r="F545" s="13"/>
      <c r="I545" s="13"/>
    </row>
    <row r="546" spans="6:9" x14ac:dyDescent="0.3">
      <c r="F546" s="13"/>
      <c r="I546" s="13"/>
    </row>
    <row r="547" spans="6:9" x14ac:dyDescent="0.3">
      <c r="F547" s="13"/>
      <c r="I547" s="13"/>
    </row>
    <row r="548" spans="6:9" x14ac:dyDescent="0.3">
      <c r="F548" s="13"/>
      <c r="I548" s="13"/>
    </row>
    <row r="549" spans="6:9" x14ac:dyDescent="0.3">
      <c r="F549" s="13"/>
      <c r="I549" s="13"/>
    </row>
    <row r="550" spans="6:9" x14ac:dyDescent="0.3">
      <c r="F550" s="13"/>
      <c r="I550" s="13"/>
    </row>
    <row r="551" spans="6:9" x14ac:dyDescent="0.3">
      <c r="F551" s="13"/>
      <c r="I551" s="13"/>
    </row>
    <row r="552" spans="6:9" x14ac:dyDescent="0.3">
      <c r="F552" s="13"/>
      <c r="I552" s="13"/>
    </row>
    <row r="553" spans="6:9" x14ac:dyDescent="0.3">
      <c r="F553" s="13"/>
      <c r="I553" s="13"/>
    </row>
    <row r="554" spans="6:9" x14ac:dyDescent="0.3">
      <c r="F554" s="13"/>
      <c r="I554" s="13"/>
    </row>
    <row r="555" spans="6:9" x14ac:dyDescent="0.3">
      <c r="F555" s="13"/>
      <c r="I555" s="13"/>
    </row>
    <row r="556" spans="6:9" x14ac:dyDescent="0.3">
      <c r="F556" s="13"/>
      <c r="I556" s="13"/>
    </row>
    <row r="557" spans="6:9" x14ac:dyDescent="0.3">
      <c r="F557" s="13"/>
      <c r="I557" s="13"/>
    </row>
    <row r="558" spans="6:9" x14ac:dyDescent="0.3">
      <c r="F558" s="13"/>
      <c r="I558" s="13"/>
    </row>
    <row r="559" spans="6:9" x14ac:dyDescent="0.3">
      <c r="F559" s="13"/>
      <c r="I559" s="13"/>
    </row>
    <row r="560" spans="6:9" x14ac:dyDescent="0.3">
      <c r="F560" s="13"/>
      <c r="I560" s="13"/>
    </row>
    <row r="561" spans="6:9" x14ac:dyDescent="0.3">
      <c r="F561" s="13"/>
      <c r="I561" s="13"/>
    </row>
    <row r="562" spans="6:9" x14ac:dyDescent="0.3">
      <c r="F562" s="13"/>
      <c r="I562" s="13"/>
    </row>
    <row r="563" spans="6:9" x14ac:dyDescent="0.3">
      <c r="F563" s="13"/>
      <c r="I563" s="13"/>
    </row>
    <row r="564" spans="6:9" x14ac:dyDescent="0.3">
      <c r="F564" s="13"/>
      <c r="I564" s="13"/>
    </row>
    <row r="565" spans="6:9" x14ac:dyDescent="0.3">
      <c r="F565" s="13"/>
      <c r="I565" s="13"/>
    </row>
    <row r="566" spans="6:9" x14ac:dyDescent="0.3">
      <c r="F566" s="13"/>
      <c r="I566" s="13"/>
    </row>
    <row r="567" spans="6:9" x14ac:dyDescent="0.3">
      <c r="F567" s="13"/>
      <c r="I567" s="13"/>
    </row>
    <row r="568" spans="6:9" x14ac:dyDescent="0.3">
      <c r="F568" s="13"/>
      <c r="I568" s="13"/>
    </row>
    <row r="569" spans="6:9" x14ac:dyDescent="0.3">
      <c r="F569" s="13"/>
      <c r="I569" s="13"/>
    </row>
    <row r="570" spans="6:9" x14ac:dyDescent="0.3">
      <c r="F570" s="13"/>
      <c r="I570" s="13"/>
    </row>
    <row r="571" spans="6:9" x14ac:dyDescent="0.3">
      <c r="F571" s="13"/>
      <c r="I571" s="13"/>
    </row>
    <row r="572" spans="6:9" x14ac:dyDescent="0.3">
      <c r="F572" s="13"/>
      <c r="I572" s="13"/>
    </row>
    <row r="573" spans="6:9" x14ac:dyDescent="0.3">
      <c r="F573" s="13"/>
      <c r="I573" s="13"/>
    </row>
    <row r="574" spans="6:9" x14ac:dyDescent="0.3">
      <c r="F574" s="13"/>
      <c r="I574" s="13"/>
    </row>
    <row r="575" spans="6:9" x14ac:dyDescent="0.3">
      <c r="F575" s="13"/>
      <c r="I575" s="13"/>
    </row>
    <row r="576" spans="6:9" x14ac:dyDescent="0.3">
      <c r="F576" s="13"/>
      <c r="I576" s="13"/>
    </row>
    <row r="577" spans="6:9" x14ac:dyDescent="0.3">
      <c r="F577" s="13"/>
      <c r="I577" s="13"/>
    </row>
    <row r="578" spans="6:9" x14ac:dyDescent="0.3">
      <c r="F578" s="13"/>
      <c r="I578" s="13"/>
    </row>
    <row r="579" spans="6:9" x14ac:dyDescent="0.3">
      <c r="F579" s="13"/>
      <c r="I579" s="13"/>
    </row>
    <row r="580" spans="6:9" x14ac:dyDescent="0.3">
      <c r="F580" s="13"/>
      <c r="I580" s="13"/>
    </row>
    <row r="581" spans="6:9" x14ac:dyDescent="0.3">
      <c r="F581" s="13"/>
      <c r="I581" s="13"/>
    </row>
    <row r="582" spans="6:9" x14ac:dyDescent="0.3">
      <c r="F582" s="13"/>
      <c r="I582" s="13"/>
    </row>
    <row r="583" spans="6:9" x14ac:dyDescent="0.3">
      <c r="F583" s="13"/>
      <c r="I583" s="13"/>
    </row>
    <row r="584" spans="6:9" x14ac:dyDescent="0.3">
      <c r="F584" s="13"/>
      <c r="I584" s="13"/>
    </row>
    <row r="585" spans="6:9" x14ac:dyDescent="0.3">
      <c r="F585" s="13"/>
      <c r="I585" s="13"/>
    </row>
    <row r="586" spans="6:9" x14ac:dyDescent="0.3">
      <c r="F586" s="13"/>
      <c r="I586" s="13"/>
    </row>
    <row r="587" spans="6:9" x14ac:dyDescent="0.3">
      <c r="F587" s="13"/>
      <c r="I587" s="13"/>
    </row>
    <row r="588" spans="6:9" x14ac:dyDescent="0.3">
      <c r="F588" s="13"/>
      <c r="I588" s="13"/>
    </row>
    <row r="589" spans="6:9" x14ac:dyDescent="0.3">
      <c r="F589" s="13"/>
      <c r="I589" s="13"/>
    </row>
    <row r="590" spans="6:9" x14ac:dyDescent="0.3">
      <c r="F590" s="13"/>
      <c r="I590" s="13"/>
    </row>
    <row r="591" spans="6:9" x14ac:dyDescent="0.3">
      <c r="F591" s="13"/>
      <c r="I591" s="13"/>
    </row>
    <row r="592" spans="6:9" x14ac:dyDescent="0.3">
      <c r="F592" s="13"/>
      <c r="I592" s="13"/>
    </row>
    <row r="593" spans="6:9" x14ac:dyDescent="0.3">
      <c r="F593" s="13"/>
      <c r="I593" s="13"/>
    </row>
    <row r="594" spans="6:9" x14ac:dyDescent="0.3">
      <c r="F594" s="13"/>
      <c r="I594" s="13"/>
    </row>
    <row r="595" spans="6:9" x14ac:dyDescent="0.3">
      <c r="F595" s="13"/>
      <c r="I595" s="13"/>
    </row>
    <row r="596" spans="6:9" x14ac:dyDescent="0.3">
      <c r="F596" s="13"/>
      <c r="I596" s="13"/>
    </row>
    <row r="597" spans="6:9" x14ac:dyDescent="0.3">
      <c r="F597" s="13"/>
      <c r="I597" s="13"/>
    </row>
    <row r="598" spans="6:9" x14ac:dyDescent="0.3">
      <c r="F598" s="13"/>
      <c r="I598" s="13"/>
    </row>
    <row r="599" spans="6:9" x14ac:dyDescent="0.3">
      <c r="F599" s="13"/>
      <c r="I599" s="13"/>
    </row>
    <row r="600" spans="6:9" x14ac:dyDescent="0.3">
      <c r="F600" s="13"/>
      <c r="I600" s="13"/>
    </row>
    <row r="601" spans="6:9" x14ac:dyDescent="0.3">
      <c r="F601" s="13"/>
      <c r="I601" s="13"/>
    </row>
    <row r="602" spans="6:9" x14ac:dyDescent="0.3">
      <c r="F602" s="13"/>
      <c r="I602" s="13"/>
    </row>
    <row r="603" spans="6:9" x14ac:dyDescent="0.3">
      <c r="F603" s="13"/>
      <c r="I603" s="13"/>
    </row>
    <row r="604" spans="6:9" x14ac:dyDescent="0.3">
      <c r="F604" s="13"/>
      <c r="I604" s="13"/>
    </row>
    <row r="605" spans="6:9" x14ac:dyDescent="0.3">
      <c r="F605" s="13"/>
      <c r="I605" s="13"/>
    </row>
    <row r="606" spans="6:9" x14ac:dyDescent="0.3">
      <c r="F606" s="13"/>
      <c r="I606" s="13"/>
    </row>
    <row r="607" spans="6:9" x14ac:dyDescent="0.3">
      <c r="F607" s="13"/>
      <c r="I607" s="13"/>
    </row>
    <row r="608" spans="6:9" x14ac:dyDescent="0.3">
      <c r="F608" s="13"/>
      <c r="I608" s="13"/>
    </row>
    <row r="609" spans="6:9" x14ac:dyDescent="0.3">
      <c r="F609" s="13"/>
      <c r="I609" s="13"/>
    </row>
    <row r="610" spans="6:9" x14ac:dyDescent="0.3">
      <c r="F610" s="13"/>
      <c r="I610" s="13"/>
    </row>
    <row r="611" spans="6:9" x14ac:dyDescent="0.3">
      <c r="F611" s="13"/>
      <c r="I611" s="13"/>
    </row>
    <row r="612" spans="6:9" x14ac:dyDescent="0.3">
      <c r="F612" s="13"/>
      <c r="I612" s="13"/>
    </row>
    <row r="613" spans="6:9" x14ac:dyDescent="0.3">
      <c r="F613" s="13"/>
      <c r="I613" s="13"/>
    </row>
    <row r="614" spans="6:9" x14ac:dyDescent="0.3">
      <c r="F614" s="13"/>
      <c r="I614" s="13"/>
    </row>
    <row r="615" spans="6:9" x14ac:dyDescent="0.3">
      <c r="F615" s="13"/>
      <c r="I615" s="13"/>
    </row>
    <row r="616" spans="6:9" x14ac:dyDescent="0.3">
      <c r="F616" s="13"/>
      <c r="I616" s="13"/>
    </row>
    <row r="617" spans="6:9" x14ac:dyDescent="0.3">
      <c r="F617" s="13"/>
      <c r="I617" s="13"/>
    </row>
    <row r="618" spans="6:9" x14ac:dyDescent="0.3">
      <c r="F618" s="13"/>
      <c r="I618" s="13"/>
    </row>
    <row r="619" spans="6:9" x14ac:dyDescent="0.3">
      <c r="F619" s="13"/>
      <c r="I619" s="13"/>
    </row>
    <row r="620" spans="6:9" x14ac:dyDescent="0.3">
      <c r="F620" s="13"/>
      <c r="I620" s="13"/>
    </row>
    <row r="621" spans="6:9" x14ac:dyDescent="0.3">
      <c r="F621" s="13"/>
      <c r="I621" s="13"/>
    </row>
    <row r="622" spans="6:9" x14ac:dyDescent="0.3">
      <c r="F622" s="13"/>
      <c r="I622" s="13"/>
    </row>
    <row r="623" spans="6:9" x14ac:dyDescent="0.3">
      <c r="F623" s="13"/>
      <c r="I623" s="13"/>
    </row>
    <row r="624" spans="6:9" x14ac:dyDescent="0.3">
      <c r="F624" s="13"/>
      <c r="I624" s="13"/>
    </row>
    <row r="625" spans="6:9" x14ac:dyDescent="0.3">
      <c r="F625" s="13"/>
      <c r="I625" s="13"/>
    </row>
    <row r="626" spans="6:9" x14ac:dyDescent="0.3">
      <c r="F626" s="13"/>
      <c r="I626" s="13"/>
    </row>
    <row r="627" spans="6:9" x14ac:dyDescent="0.3">
      <c r="F627" s="13"/>
      <c r="I627" s="13"/>
    </row>
    <row r="628" spans="6:9" x14ac:dyDescent="0.3">
      <c r="F628" s="13"/>
      <c r="I628" s="13"/>
    </row>
    <row r="629" spans="6:9" x14ac:dyDescent="0.3">
      <c r="F629" s="13"/>
      <c r="I629" s="13"/>
    </row>
    <row r="630" spans="6:9" x14ac:dyDescent="0.3">
      <c r="F630" s="13"/>
      <c r="I630" s="13"/>
    </row>
    <row r="631" spans="6:9" x14ac:dyDescent="0.3">
      <c r="F631" s="13"/>
      <c r="I631" s="13"/>
    </row>
    <row r="632" spans="6:9" x14ac:dyDescent="0.3">
      <c r="F632" s="13"/>
      <c r="I632" s="13"/>
    </row>
    <row r="633" spans="6:9" x14ac:dyDescent="0.3">
      <c r="F633" s="13"/>
      <c r="I633" s="13"/>
    </row>
    <row r="634" spans="6:9" x14ac:dyDescent="0.3">
      <c r="F634" s="13"/>
      <c r="I634" s="13"/>
    </row>
    <row r="635" spans="6:9" x14ac:dyDescent="0.3">
      <c r="F635" s="13"/>
      <c r="I635" s="13"/>
    </row>
    <row r="636" spans="6:9" x14ac:dyDescent="0.3">
      <c r="F636" s="13"/>
      <c r="I636" s="13"/>
    </row>
    <row r="637" spans="6:9" x14ac:dyDescent="0.3">
      <c r="F637" s="13"/>
      <c r="I637" s="13"/>
    </row>
    <row r="638" spans="6:9" x14ac:dyDescent="0.3">
      <c r="F638" s="13"/>
      <c r="I638" s="13"/>
    </row>
    <row r="639" spans="6:9" x14ac:dyDescent="0.3">
      <c r="F639" s="13"/>
      <c r="I639" s="13"/>
    </row>
    <row r="640" spans="6:9" x14ac:dyDescent="0.3">
      <c r="F640" s="13"/>
      <c r="I640" s="13"/>
    </row>
    <row r="641" spans="6:9" x14ac:dyDescent="0.3">
      <c r="F641" s="13"/>
      <c r="I641" s="13"/>
    </row>
    <row r="642" spans="6:9" x14ac:dyDescent="0.3">
      <c r="F642" s="13"/>
      <c r="I642" s="13"/>
    </row>
    <row r="643" spans="6:9" x14ac:dyDescent="0.3">
      <c r="F643" s="13"/>
      <c r="I643" s="13"/>
    </row>
    <row r="644" spans="6:9" x14ac:dyDescent="0.3">
      <c r="F644" s="13"/>
      <c r="I644" s="13"/>
    </row>
    <row r="645" spans="6:9" x14ac:dyDescent="0.3">
      <c r="F645" s="13"/>
      <c r="I645" s="13"/>
    </row>
    <row r="646" spans="6:9" x14ac:dyDescent="0.3">
      <c r="F646" s="13"/>
      <c r="I646" s="13"/>
    </row>
    <row r="647" spans="6:9" x14ac:dyDescent="0.3">
      <c r="F647" s="13"/>
      <c r="I647" s="13"/>
    </row>
    <row r="648" spans="6:9" x14ac:dyDescent="0.3">
      <c r="F648" s="13"/>
      <c r="I648" s="13"/>
    </row>
    <row r="649" spans="6:9" x14ac:dyDescent="0.3">
      <c r="F649" s="13"/>
      <c r="I649" s="13"/>
    </row>
    <row r="650" spans="6:9" x14ac:dyDescent="0.3">
      <c r="F650" s="13"/>
      <c r="I650" s="13"/>
    </row>
    <row r="651" spans="6:9" x14ac:dyDescent="0.3">
      <c r="F651" s="13"/>
      <c r="I651" s="13"/>
    </row>
    <row r="652" spans="6:9" x14ac:dyDescent="0.3">
      <c r="F652" s="13"/>
      <c r="I652" s="13"/>
    </row>
    <row r="653" spans="6:9" x14ac:dyDescent="0.3">
      <c r="F653" s="13"/>
      <c r="I653" s="13"/>
    </row>
    <row r="654" spans="6:9" x14ac:dyDescent="0.3">
      <c r="F654" s="13"/>
      <c r="I654" s="13"/>
    </row>
    <row r="655" spans="6:9" x14ac:dyDescent="0.3">
      <c r="F655" s="13"/>
      <c r="I655" s="13"/>
    </row>
    <row r="656" spans="6:9" x14ac:dyDescent="0.3">
      <c r="F656" s="13"/>
      <c r="I656" s="13"/>
    </row>
    <row r="657" spans="6:9" x14ac:dyDescent="0.3">
      <c r="F657" s="13"/>
      <c r="I657" s="13"/>
    </row>
    <row r="658" spans="6:9" x14ac:dyDescent="0.3">
      <c r="F658" s="13"/>
      <c r="I658" s="13"/>
    </row>
    <row r="659" spans="6:9" x14ac:dyDescent="0.3">
      <c r="F659" s="13"/>
      <c r="I659" s="13"/>
    </row>
    <row r="660" spans="6:9" x14ac:dyDescent="0.3">
      <c r="F660" s="13"/>
      <c r="I660" s="13"/>
    </row>
    <row r="661" spans="6:9" x14ac:dyDescent="0.3">
      <c r="F661" s="13"/>
      <c r="I661" s="13"/>
    </row>
    <row r="662" spans="6:9" x14ac:dyDescent="0.3">
      <c r="F662" s="13"/>
      <c r="I662" s="13"/>
    </row>
    <row r="663" spans="6:9" x14ac:dyDescent="0.3">
      <c r="F663" s="13"/>
      <c r="I663" s="13"/>
    </row>
    <row r="664" spans="6:9" x14ac:dyDescent="0.3">
      <c r="F664" s="13"/>
      <c r="I664" s="13"/>
    </row>
    <row r="665" spans="6:9" x14ac:dyDescent="0.3">
      <c r="F665" s="13"/>
      <c r="I665" s="13"/>
    </row>
    <row r="666" spans="6:9" x14ac:dyDescent="0.3">
      <c r="F666" s="13"/>
      <c r="I666" s="13"/>
    </row>
    <row r="667" spans="6:9" x14ac:dyDescent="0.3">
      <c r="F667" s="13"/>
      <c r="I667" s="13"/>
    </row>
    <row r="668" spans="6:9" x14ac:dyDescent="0.3">
      <c r="F668" s="13"/>
      <c r="I668" s="13"/>
    </row>
    <row r="669" spans="6:9" x14ac:dyDescent="0.3">
      <c r="F669" s="13"/>
      <c r="I669" s="13"/>
    </row>
    <row r="670" spans="6:9" x14ac:dyDescent="0.3">
      <c r="F670" s="13"/>
      <c r="I670" s="13"/>
    </row>
    <row r="671" spans="6:9" x14ac:dyDescent="0.3">
      <c r="F671" s="13"/>
      <c r="I671" s="13"/>
    </row>
    <row r="672" spans="6:9" x14ac:dyDescent="0.3">
      <c r="F672" s="13"/>
      <c r="I672" s="13"/>
    </row>
    <row r="673" spans="6:9" x14ac:dyDescent="0.3">
      <c r="F673" s="13"/>
      <c r="I673" s="13"/>
    </row>
    <row r="674" spans="6:9" x14ac:dyDescent="0.3">
      <c r="F674" s="13"/>
      <c r="I674" s="13"/>
    </row>
    <row r="675" spans="6:9" x14ac:dyDescent="0.3">
      <c r="F675" s="13"/>
      <c r="I675" s="13"/>
    </row>
    <row r="676" spans="6:9" x14ac:dyDescent="0.3">
      <c r="F676" s="13"/>
      <c r="I676" s="13"/>
    </row>
    <row r="677" spans="6:9" x14ac:dyDescent="0.3">
      <c r="F677" s="13"/>
      <c r="I677" s="13"/>
    </row>
    <row r="678" spans="6:9" x14ac:dyDescent="0.3">
      <c r="F678" s="13"/>
      <c r="I678" s="13"/>
    </row>
    <row r="679" spans="6:9" x14ac:dyDescent="0.3">
      <c r="F679" s="13"/>
      <c r="I679" s="13"/>
    </row>
    <row r="680" spans="6:9" x14ac:dyDescent="0.3">
      <c r="F680" s="13"/>
      <c r="I680" s="13"/>
    </row>
    <row r="681" spans="6:9" x14ac:dyDescent="0.3">
      <c r="F681" s="13"/>
      <c r="I681" s="13"/>
    </row>
    <row r="682" spans="6:9" x14ac:dyDescent="0.3">
      <c r="F682" s="13"/>
      <c r="I682" s="13"/>
    </row>
    <row r="683" spans="6:9" x14ac:dyDescent="0.3">
      <c r="F683" s="13"/>
      <c r="I683" s="13"/>
    </row>
    <row r="684" spans="6:9" x14ac:dyDescent="0.3">
      <c r="F684" s="13"/>
      <c r="I684" s="13"/>
    </row>
    <row r="685" spans="6:9" x14ac:dyDescent="0.3">
      <c r="F685" s="13"/>
      <c r="I685" s="13"/>
    </row>
    <row r="686" spans="6:9" x14ac:dyDescent="0.3">
      <c r="F686" s="13"/>
      <c r="I686" s="13"/>
    </row>
    <row r="687" spans="6:9" x14ac:dyDescent="0.3">
      <c r="F687" s="13"/>
      <c r="I687" s="13"/>
    </row>
    <row r="688" spans="6:9" x14ac:dyDescent="0.3">
      <c r="F688" s="13"/>
      <c r="I688" s="13"/>
    </row>
    <row r="689" spans="6:9" x14ac:dyDescent="0.3">
      <c r="F689" s="13"/>
      <c r="I689" s="13"/>
    </row>
    <row r="690" spans="6:9" x14ac:dyDescent="0.3">
      <c r="F690" s="13"/>
      <c r="I690" s="13"/>
    </row>
    <row r="691" spans="6:9" x14ac:dyDescent="0.3">
      <c r="F691" s="13"/>
      <c r="I691" s="13"/>
    </row>
    <row r="692" spans="6:9" x14ac:dyDescent="0.3">
      <c r="F692" s="13"/>
      <c r="I692" s="13"/>
    </row>
    <row r="693" spans="6:9" x14ac:dyDescent="0.3">
      <c r="F693" s="13"/>
      <c r="I693" s="13"/>
    </row>
    <row r="694" spans="6:9" x14ac:dyDescent="0.3">
      <c r="F694" s="13"/>
      <c r="I694" s="13"/>
    </row>
    <row r="695" spans="6:9" x14ac:dyDescent="0.3">
      <c r="F695" s="13"/>
      <c r="I695" s="13"/>
    </row>
    <row r="696" spans="6:9" x14ac:dyDescent="0.3">
      <c r="F696" s="13"/>
      <c r="I696" s="13"/>
    </row>
    <row r="697" spans="6:9" x14ac:dyDescent="0.3">
      <c r="F697" s="13"/>
      <c r="I697" s="13"/>
    </row>
    <row r="698" spans="6:9" x14ac:dyDescent="0.3">
      <c r="F698" s="13"/>
      <c r="I698" s="13"/>
    </row>
    <row r="699" spans="6:9" x14ac:dyDescent="0.3">
      <c r="F699" s="13"/>
      <c r="I699" s="13"/>
    </row>
    <row r="700" spans="6:9" x14ac:dyDescent="0.3">
      <c r="F700" s="13"/>
      <c r="I700" s="13"/>
    </row>
    <row r="701" spans="6:9" x14ac:dyDescent="0.3">
      <c r="F701" s="13"/>
      <c r="I701" s="13"/>
    </row>
    <row r="702" spans="6:9" x14ac:dyDescent="0.3">
      <c r="F702" s="13"/>
      <c r="I702" s="13"/>
    </row>
    <row r="703" spans="6:9" x14ac:dyDescent="0.3">
      <c r="F703" s="13"/>
      <c r="I703" s="13"/>
    </row>
    <row r="704" spans="6:9" x14ac:dyDescent="0.3">
      <c r="F704" s="13"/>
      <c r="I704" s="13"/>
    </row>
    <row r="705" spans="6:9" x14ac:dyDescent="0.3">
      <c r="F705" s="13"/>
      <c r="I705" s="13"/>
    </row>
    <row r="706" spans="6:9" x14ac:dyDescent="0.3">
      <c r="F706" s="13"/>
      <c r="I706" s="13"/>
    </row>
    <row r="707" spans="6:9" x14ac:dyDescent="0.3">
      <c r="F707" s="13"/>
      <c r="I707" s="13"/>
    </row>
    <row r="708" spans="6:9" x14ac:dyDescent="0.3">
      <c r="F708" s="13"/>
      <c r="I708" s="13"/>
    </row>
    <row r="709" spans="6:9" x14ac:dyDescent="0.3">
      <c r="F709" s="13"/>
      <c r="I709" s="13"/>
    </row>
    <row r="710" spans="6:9" x14ac:dyDescent="0.3">
      <c r="F710" s="13"/>
      <c r="I710" s="13"/>
    </row>
    <row r="711" spans="6:9" x14ac:dyDescent="0.3">
      <c r="F711" s="13"/>
      <c r="I711" s="13"/>
    </row>
    <row r="712" spans="6:9" x14ac:dyDescent="0.3">
      <c r="F712" s="13"/>
      <c r="I712" s="13"/>
    </row>
    <row r="713" spans="6:9" x14ac:dyDescent="0.3">
      <c r="F713" s="13"/>
      <c r="I713" s="13"/>
    </row>
    <row r="714" spans="6:9" x14ac:dyDescent="0.3">
      <c r="F714" s="13"/>
      <c r="I714" s="13"/>
    </row>
    <row r="715" spans="6:9" x14ac:dyDescent="0.3">
      <c r="F715" s="13"/>
      <c r="I715" s="13"/>
    </row>
    <row r="716" spans="6:9" x14ac:dyDescent="0.3">
      <c r="F716" s="13"/>
      <c r="I716" s="13"/>
    </row>
    <row r="717" spans="6:9" x14ac:dyDescent="0.3">
      <c r="F717" s="13"/>
      <c r="I717" s="13"/>
    </row>
    <row r="718" spans="6:9" x14ac:dyDescent="0.3">
      <c r="F718" s="13"/>
      <c r="I718" s="13"/>
    </row>
    <row r="719" spans="6:9" x14ac:dyDescent="0.3">
      <c r="F719" s="13"/>
      <c r="I719" s="13"/>
    </row>
    <row r="720" spans="6:9" x14ac:dyDescent="0.3">
      <c r="F720" s="13"/>
      <c r="I720" s="13"/>
    </row>
    <row r="721" spans="6:9" x14ac:dyDescent="0.3">
      <c r="F721" s="13"/>
      <c r="I721" s="13"/>
    </row>
    <row r="722" spans="6:9" x14ac:dyDescent="0.3">
      <c r="F722" s="13"/>
      <c r="I722" s="13"/>
    </row>
    <row r="723" spans="6:9" x14ac:dyDescent="0.3">
      <c r="F723" s="13"/>
      <c r="I723" s="13"/>
    </row>
    <row r="724" spans="6:9" x14ac:dyDescent="0.3">
      <c r="F724" s="13"/>
      <c r="I724" s="13"/>
    </row>
    <row r="725" spans="6:9" x14ac:dyDescent="0.3">
      <c r="F725" s="13"/>
      <c r="I725" s="13"/>
    </row>
    <row r="726" spans="6:9" x14ac:dyDescent="0.3">
      <c r="F726" s="13"/>
      <c r="I726" s="13"/>
    </row>
    <row r="727" spans="6:9" x14ac:dyDescent="0.3">
      <c r="F727" s="13"/>
      <c r="I727" s="13"/>
    </row>
    <row r="728" spans="6:9" x14ac:dyDescent="0.3">
      <c r="F728" s="13"/>
      <c r="I728" s="13"/>
    </row>
    <row r="729" spans="6:9" x14ac:dyDescent="0.3">
      <c r="F729" s="13"/>
      <c r="I729" s="13"/>
    </row>
    <row r="730" spans="6:9" x14ac:dyDescent="0.3">
      <c r="F730" s="13"/>
      <c r="I730" s="13"/>
    </row>
    <row r="731" spans="6:9" x14ac:dyDescent="0.3">
      <c r="F731" s="13"/>
      <c r="I731" s="13"/>
    </row>
    <row r="732" spans="6:9" x14ac:dyDescent="0.3">
      <c r="F732" s="13"/>
      <c r="I732" s="13"/>
    </row>
    <row r="733" spans="6:9" x14ac:dyDescent="0.3">
      <c r="F733" s="13"/>
      <c r="I733" s="13"/>
    </row>
    <row r="734" spans="6:9" x14ac:dyDescent="0.3">
      <c r="F734" s="13"/>
      <c r="I734" s="13"/>
    </row>
    <row r="735" spans="6:9" x14ac:dyDescent="0.3">
      <c r="F735" s="13"/>
      <c r="I735" s="13"/>
    </row>
    <row r="736" spans="6:9" x14ac:dyDescent="0.3">
      <c r="F736" s="13"/>
      <c r="I736" s="13"/>
    </row>
    <row r="737" spans="6:9" x14ac:dyDescent="0.3">
      <c r="F737" s="13"/>
      <c r="I737" s="13"/>
    </row>
    <row r="738" spans="6:9" x14ac:dyDescent="0.3">
      <c r="F738" s="13"/>
      <c r="I738" s="13"/>
    </row>
    <row r="739" spans="6:9" x14ac:dyDescent="0.3">
      <c r="F739" s="13"/>
      <c r="I739" s="13"/>
    </row>
    <row r="740" spans="6:9" x14ac:dyDescent="0.3">
      <c r="F740" s="13"/>
      <c r="I740" s="13"/>
    </row>
    <row r="741" spans="6:9" x14ac:dyDescent="0.3">
      <c r="F741" s="13"/>
      <c r="I741" s="13"/>
    </row>
    <row r="742" spans="6:9" x14ac:dyDescent="0.3">
      <c r="F742" s="13"/>
      <c r="I742" s="13"/>
    </row>
    <row r="743" spans="6:9" x14ac:dyDescent="0.3">
      <c r="F743" s="13"/>
      <c r="I743" s="13"/>
    </row>
    <row r="744" spans="6:9" x14ac:dyDescent="0.3">
      <c r="F744" s="13"/>
      <c r="I744" s="13"/>
    </row>
    <row r="745" spans="6:9" x14ac:dyDescent="0.3">
      <c r="F745" s="13"/>
      <c r="I745" s="13"/>
    </row>
    <row r="746" spans="6:9" x14ac:dyDescent="0.3">
      <c r="F746" s="13"/>
      <c r="I746" s="13"/>
    </row>
    <row r="747" spans="6:9" x14ac:dyDescent="0.3">
      <c r="F747" s="13"/>
      <c r="I747" s="13"/>
    </row>
    <row r="748" spans="6:9" x14ac:dyDescent="0.3">
      <c r="F748" s="13"/>
      <c r="I748" s="13"/>
    </row>
    <row r="749" spans="6:9" x14ac:dyDescent="0.3">
      <c r="F749" s="13"/>
      <c r="I749" s="13"/>
    </row>
    <row r="750" spans="6:9" x14ac:dyDescent="0.3">
      <c r="F750" s="13"/>
      <c r="I750" s="13"/>
    </row>
    <row r="751" spans="6:9" x14ac:dyDescent="0.3">
      <c r="F751" s="13"/>
      <c r="I751" s="13"/>
    </row>
    <row r="752" spans="6:9" x14ac:dyDescent="0.3">
      <c r="F752" s="13"/>
      <c r="I752" s="13"/>
    </row>
    <row r="753" spans="6:9" x14ac:dyDescent="0.3">
      <c r="F753" s="13"/>
      <c r="I753" s="13"/>
    </row>
    <row r="754" spans="6:9" x14ac:dyDescent="0.3">
      <c r="F754" s="13"/>
      <c r="I754" s="13"/>
    </row>
    <row r="755" spans="6:9" x14ac:dyDescent="0.3">
      <c r="F755" s="13"/>
      <c r="I755" s="13"/>
    </row>
    <row r="756" spans="6:9" x14ac:dyDescent="0.3">
      <c r="F756" s="13"/>
      <c r="I756" s="13"/>
    </row>
    <row r="757" spans="6:9" x14ac:dyDescent="0.3">
      <c r="F757" s="13"/>
      <c r="I757" s="13"/>
    </row>
    <row r="758" spans="6:9" x14ac:dyDescent="0.3">
      <c r="F758" s="13"/>
      <c r="I758" s="13"/>
    </row>
    <row r="759" spans="6:9" x14ac:dyDescent="0.3">
      <c r="F759" s="13"/>
      <c r="I759" s="13"/>
    </row>
    <row r="760" spans="6:9" x14ac:dyDescent="0.3">
      <c r="F760" s="13"/>
      <c r="I760" s="13"/>
    </row>
    <row r="761" spans="6:9" x14ac:dyDescent="0.3">
      <c r="F761" s="13"/>
      <c r="I761" s="13"/>
    </row>
    <row r="762" spans="6:9" x14ac:dyDescent="0.3">
      <c r="F762" s="13"/>
      <c r="I762" s="13"/>
    </row>
    <row r="763" spans="6:9" x14ac:dyDescent="0.3">
      <c r="F763" s="13"/>
      <c r="I763" s="13"/>
    </row>
    <row r="764" spans="6:9" x14ac:dyDescent="0.3">
      <c r="F764" s="13"/>
      <c r="I764" s="13"/>
    </row>
    <row r="765" spans="6:9" x14ac:dyDescent="0.3">
      <c r="F765" s="13"/>
      <c r="I765" s="13"/>
    </row>
    <row r="766" spans="6:9" x14ac:dyDescent="0.3">
      <c r="F766" s="13"/>
      <c r="I766" s="13"/>
    </row>
    <row r="767" spans="6:9" x14ac:dyDescent="0.3">
      <c r="F767" s="13"/>
      <c r="I767" s="13"/>
    </row>
    <row r="768" spans="6:9" x14ac:dyDescent="0.3">
      <c r="F768" s="13"/>
      <c r="I768" s="13"/>
    </row>
    <row r="769" spans="6:9" x14ac:dyDescent="0.3">
      <c r="F769" s="13"/>
      <c r="I769" s="13"/>
    </row>
    <row r="770" spans="6:9" x14ac:dyDescent="0.3">
      <c r="F770" s="13"/>
      <c r="I770" s="13"/>
    </row>
    <row r="771" spans="6:9" x14ac:dyDescent="0.3">
      <c r="F771" s="13"/>
      <c r="I771" s="13"/>
    </row>
    <row r="772" spans="6:9" x14ac:dyDescent="0.3">
      <c r="F772" s="13"/>
      <c r="I772" s="13"/>
    </row>
    <row r="773" spans="6:9" x14ac:dyDescent="0.3">
      <c r="F773" s="13"/>
      <c r="I773" s="13"/>
    </row>
    <row r="774" spans="6:9" x14ac:dyDescent="0.3">
      <c r="F774" s="13"/>
      <c r="I774" s="13"/>
    </row>
    <row r="775" spans="6:9" x14ac:dyDescent="0.3">
      <c r="F775" s="13"/>
      <c r="I775" s="13"/>
    </row>
    <row r="776" spans="6:9" x14ac:dyDescent="0.3">
      <c r="F776" s="13"/>
      <c r="I776" s="13"/>
    </row>
    <row r="777" spans="6:9" x14ac:dyDescent="0.3">
      <c r="F777" s="13"/>
      <c r="I777" s="13"/>
    </row>
    <row r="778" spans="6:9" x14ac:dyDescent="0.3">
      <c r="F778" s="13"/>
      <c r="I778" s="13"/>
    </row>
    <row r="779" spans="6:9" x14ac:dyDescent="0.3">
      <c r="F779" s="13"/>
      <c r="I779" s="13"/>
    </row>
    <row r="780" spans="6:9" x14ac:dyDescent="0.3">
      <c r="F780" s="13"/>
      <c r="I780" s="13"/>
    </row>
    <row r="781" spans="6:9" x14ac:dyDescent="0.3">
      <c r="F781" s="13"/>
      <c r="I781" s="13"/>
    </row>
    <row r="782" spans="6:9" x14ac:dyDescent="0.3">
      <c r="F782" s="13"/>
      <c r="I782" s="13"/>
    </row>
    <row r="783" spans="6:9" x14ac:dyDescent="0.3">
      <c r="F783" s="13"/>
      <c r="I783" s="13"/>
    </row>
    <row r="784" spans="6:9" x14ac:dyDescent="0.3">
      <c r="F784" s="13"/>
      <c r="I784" s="13"/>
    </row>
    <row r="785" spans="6:9" x14ac:dyDescent="0.3">
      <c r="F785" s="13"/>
      <c r="I785" s="13"/>
    </row>
    <row r="786" spans="6:9" x14ac:dyDescent="0.3">
      <c r="F786" s="13"/>
      <c r="I786" s="13"/>
    </row>
    <row r="787" spans="6:9" x14ac:dyDescent="0.3">
      <c r="F787" s="13"/>
      <c r="I787" s="13"/>
    </row>
    <row r="788" spans="6:9" x14ac:dyDescent="0.3">
      <c r="F788" s="13"/>
      <c r="I788" s="13"/>
    </row>
    <row r="789" spans="6:9" x14ac:dyDescent="0.3">
      <c r="F789" s="13"/>
      <c r="I789" s="13"/>
    </row>
    <row r="790" spans="6:9" x14ac:dyDescent="0.3">
      <c r="F790" s="13"/>
      <c r="I790" s="13"/>
    </row>
    <row r="791" spans="6:9" x14ac:dyDescent="0.3">
      <c r="F791" s="13"/>
      <c r="I791" s="13"/>
    </row>
    <row r="792" spans="6:9" x14ac:dyDescent="0.3">
      <c r="F792" s="13"/>
      <c r="I792" s="13"/>
    </row>
    <row r="793" spans="6:9" x14ac:dyDescent="0.3">
      <c r="F793" s="13"/>
      <c r="I793" s="13"/>
    </row>
    <row r="794" spans="6:9" x14ac:dyDescent="0.3">
      <c r="F794" s="13"/>
      <c r="I794" s="13"/>
    </row>
    <row r="795" spans="6:9" x14ac:dyDescent="0.3">
      <c r="F795" s="13"/>
      <c r="I795" s="13"/>
    </row>
    <row r="796" spans="6:9" x14ac:dyDescent="0.3">
      <c r="F796" s="13"/>
      <c r="I796" s="13"/>
    </row>
    <row r="797" spans="6:9" x14ac:dyDescent="0.3">
      <c r="F797" s="13"/>
      <c r="I797" s="13"/>
    </row>
    <row r="798" spans="6:9" x14ac:dyDescent="0.3">
      <c r="F798" s="13"/>
      <c r="I798" s="13"/>
    </row>
    <row r="799" spans="6:9" x14ac:dyDescent="0.3">
      <c r="F799" s="13"/>
      <c r="I799" s="13"/>
    </row>
    <row r="800" spans="6:9" x14ac:dyDescent="0.3">
      <c r="F800" s="13"/>
      <c r="I800" s="13"/>
    </row>
    <row r="801" spans="6:9" x14ac:dyDescent="0.3">
      <c r="F801" s="13"/>
      <c r="I801" s="13"/>
    </row>
    <row r="802" spans="6:9" x14ac:dyDescent="0.3">
      <c r="F802" s="13"/>
      <c r="I802" s="13"/>
    </row>
    <row r="803" spans="6:9" x14ac:dyDescent="0.3">
      <c r="F803" s="13"/>
      <c r="I803" s="13"/>
    </row>
    <row r="804" spans="6:9" x14ac:dyDescent="0.3">
      <c r="F804" s="13"/>
      <c r="I804" s="13"/>
    </row>
    <row r="805" spans="6:9" x14ac:dyDescent="0.3">
      <c r="F805" s="13"/>
      <c r="I805" s="13"/>
    </row>
    <row r="806" spans="6:9" x14ac:dyDescent="0.3">
      <c r="F806" s="13"/>
      <c r="I806" s="13"/>
    </row>
    <row r="807" spans="6:9" x14ac:dyDescent="0.3">
      <c r="F807" s="13"/>
      <c r="I807" s="13"/>
    </row>
    <row r="808" spans="6:9" x14ac:dyDescent="0.3">
      <c r="F808" s="13"/>
      <c r="I808" s="13"/>
    </row>
    <row r="809" spans="6:9" x14ac:dyDescent="0.3">
      <c r="F809" s="13"/>
      <c r="I809" s="13"/>
    </row>
    <row r="810" spans="6:9" x14ac:dyDescent="0.3">
      <c r="F810" s="13"/>
      <c r="I810" s="13"/>
    </row>
    <row r="811" spans="6:9" x14ac:dyDescent="0.3">
      <c r="F811" s="13"/>
      <c r="I811" s="13"/>
    </row>
    <row r="812" spans="6:9" x14ac:dyDescent="0.3">
      <c r="F812" s="13"/>
      <c r="I812" s="13"/>
    </row>
    <row r="813" spans="6:9" x14ac:dyDescent="0.3">
      <c r="F813" s="13"/>
      <c r="I813" s="13"/>
    </row>
    <row r="814" spans="6:9" x14ac:dyDescent="0.3">
      <c r="F814" s="13"/>
      <c r="I814" s="13"/>
    </row>
    <row r="815" spans="6:9" x14ac:dyDescent="0.3">
      <c r="F815" s="13"/>
      <c r="I815" s="13"/>
    </row>
    <row r="816" spans="6:9" x14ac:dyDescent="0.3">
      <c r="F816" s="13"/>
      <c r="I816" s="13"/>
    </row>
    <row r="817" spans="6:9" x14ac:dyDescent="0.3">
      <c r="F817" s="13"/>
      <c r="I817" s="13"/>
    </row>
    <row r="818" spans="6:9" x14ac:dyDescent="0.3">
      <c r="F818" s="13"/>
      <c r="I818" s="13"/>
    </row>
    <row r="819" spans="6:9" x14ac:dyDescent="0.3">
      <c r="F819" s="13"/>
      <c r="I819" s="13"/>
    </row>
    <row r="820" spans="6:9" x14ac:dyDescent="0.3">
      <c r="F820" s="13"/>
      <c r="I820" s="13"/>
    </row>
    <row r="821" spans="6:9" x14ac:dyDescent="0.3">
      <c r="F821" s="13"/>
      <c r="I821" s="13"/>
    </row>
    <row r="822" spans="6:9" x14ac:dyDescent="0.3">
      <c r="F822" s="13"/>
      <c r="I822" s="13"/>
    </row>
    <row r="823" spans="6:9" x14ac:dyDescent="0.3">
      <c r="F823" s="13"/>
      <c r="I823" s="13"/>
    </row>
    <row r="824" spans="6:9" x14ac:dyDescent="0.3">
      <c r="F824" s="13"/>
      <c r="I824" s="13"/>
    </row>
    <row r="825" spans="6:9" x14ac:dyDescent="0.3">
      <c r="F825" s="13"/>
      <c r="I825" s="13"/>
    </row>
    <row r="826" spans="6:9" x14ac:dyDescent="0.3">
      <c r="F826" s="13"/>
      <c r="I826" s="13"/>
    </row>
    <row r="827" spans="6:9" x14ac:dyDescent="0.3">
      <c r="F827" s="13"/>
      <c r="I827" s="13"/>
    </row>
    <row r="828" spans="6:9" x14ac:dyDescent="0.3">
      <c r="F828" s="13"/>
      <c r="I828" s="13"/>
    </row>
    <row r="829" spans="6:9" x14ac:dyDescent="0.3">
      <c r="F829" s="13"/>
      <c r="I829" s="13"/>
    </row>
    <row r="830" spans="6:9" x14ac:dyDescent="0.3">
      <c r="F830" s="13"/>
      <c r="I830" s="13"/>
    </row>
    <row r="831" spans="6:9" x14ac:dyDescent="0.3">
      <c r="F831" s="13"/>
      <c r="I831" s="13"/>
    </row>
    <row r="832" spans="6:9" x14ac:dyDescent="0.3">
      <c r="F832" s="13"/>
      <c r="I832" s="13"/>
    </row>
    <row r="833" spans="6:9" x14ac:dyDescent="0.3">
      <c r="F833" s="13"/>
      <c r="I833" s="13"/>
    </row>
    <row r="834" spans="6:9" x14ac:dyDescent="0.3">
      <c r="F834" s="13"/>
      <c r="I834" s="13"/>
    </row>
    <row r="835" spans="6:9" x14ac:dyDescent="0.3">
      <c r="F835" s="13"/>
      <c r="I835" s="13"/>
    </row>
    <row r="836" spans="6:9" x14ac:dyDescent="0.3">
      <c r="F836" s="13"/>
      <c r="I836" s="13"/>
    </row>
    <row r="837" spans="6:9" x14ac:dyDescent="0.3">
      <c r="F837" s="13"/>
      <c r="I837" s="13"/>
    </row>
    <row r="838" spans="6:9" x14ac:dyDescent="0.3">
      <c r="F838" s="13"/>
      <c r="I838" s="13"/>
    </row>
    <row r="839" spans="6:9" x14ac:dyDescent="0.3">
      <c r="F839" s="13"/>
      <c r="I839" s="13"/>
    </row>
    <row r="840" spans="6:9" x14ac:dyDescent="0.3">
      <c r="F840" s="13"/>
      <c r="I840" s="13"/>
    </row>
    <row r="841" spans="6:9" x14ac:dyDescent="0.3">
      <c r="F841" s="13"/>
      <c r="I841" s="13"/>
    </row>
    <row r="842" spans="6:9" x14ac:dyDescent="0.3">
      <c r="F842" s="13"/>
      <c r="I842" s="13"/>
    </row>
    <row r="843" spans="6:9" x14ac:dyDescent="0.3">
      <c r="F843" s="13"/>
      <c r="I843" s="13"/>
    </row>
    <row r="844" spans="6:9" x14ac:dyDescent="0.3">
      <c r="F844" s="13"/>
      <c r="I844" s="13"/>
    </row>
    <row r="845" spans="6:9" x14ac:dyDescent="0.3">
      <c r="F845" s="13"/>
      <c r="I845" s="13"/>
    </row>
    <row r="846" spans="6:9" x14ac:dyDescent="0.3">
      <c r="F846" s="13"/>
      <c r="I846" s="13"/>
    </row>
    <row r="847" spans="6:9" x14ac:dyDescent="0.3">
      <c r="F847" s="13"/>
      <c r="I847" s="13"/>
    </row>
    <row r="848" spans="6:9" x14ac:dyDescent="0.3">
      <c r="F848" s="13"/>
      <c r="I848" s="13"/>
    </row>
    <row r="849" spans="6:9" x14ac:dyDescent="0.3">
      <c r="F849" s="13"/>
      <c r="I849" s="13"/>
    </row>
    <row r="850" spans="6:9" x14ac:dyDescent="0.3">
      <c r="F850" s="13"/>
      <c r="I850" s="13"/>
    </row>
    <row r="851" spans="6:9" x14ac:dyDescent="0.3">
      <c r="F851" s="13"/>
      <c r="I851" s="13"/>
    </row>
    <row r="852" spans="6:9" x14ac:dyDescent="0.3">
      <c r="F852" s="13"/>
      <c r="I852" s="13"/>
    </row>
    <row r="853" spans="6:9" x14ac:dyDescent="0.3">
      <c r="F853" s="13"/>
      <c r="I853" s="13"/>
    </row>
    <row r="854" spans="6:9" x14ac:dyDescent="0.3">
      <c r="F854" s="13"/>
      <c r="I854" s="13"/>
    </row>
    <row r="855" spans="6:9" x14ac:dyDescent="0.3">
      <c r="F855" s="13"/>
      <c r="I855" s="13"/>
    </row>
    <row r="856" spans="6:9" x14ac:dyDescent="0.3">
      <c r="F856" s="13"/>
      <c r="I856" s="13"/>
    </row>
    <row r="857" spans="6:9" x14ac:dyDescent="0.3">
      <c r="F857" s="13"/>
      <c r="I857" s="13"/>
    </row>
    <row r="858" spans="6:9" x14ac:dyDescent="0.3">
      <c r="F858" s="13"/>
      <c r="I858" s="13"/>
    </row>
    <row r="859" spans="6:9" x14ac:dyDescent="0.3">
      <c r="F859" s="13"/>
      <c r="I859" s="13"/>
    </row>
    <row r="860" spans="6:9" x14ac:dyDescent="0.3">
      <c r="F860" s="13"/>
      <c r="I860" s="13"/>
    </row>
    <row r="861" spans="6:9" x14ac:dyDescent="0.3">
      <c r="F861" s="13"/>
      <c r="I861" s="13"/>
    </row>
    <row r="862" spans="6:9" x14ac:dyDescent="0.3">
      <c r="F862" s="13"/>
      <c r="I862" s="13"/>
    </row>
    <row r="863" spans="6:9" x14ac:dyDescent="0.3">
      <c r="F863" s="13"/>
      <c r="I863" s="13"/>
    </row>
    <row r="864" spans="6:9" x14ac:dyDescent="0.3">
      <c r="F864" s="13"/>
      <c r="I864" s="13"/>
    </row>
    <row r="865" spans="6:9" x14ac:dyDescent="0.3">
      <c r="F865" s="13"/>
      <c r="I865" s="13"/>
    </row>
    <row r="866" spans="6:9" x14ac:dyDescent="0.3">
      <c r="F866" s="13"/>
      <c r="I866" s="13"/>
    </row>
    <row r="867" spans="6:9" x14ac:dyDescent="0.3">
      <c r="F867" s="13"/>
      <c r="I867" s="13"/>
    </row>
    <row r="868" spans="6:9" x14ac:dyDescent="0.3">
      <c r="F868" s="13"/>
      <c r="I868" s="13"/>
    </row>
    <row r="869" spans="6:9" x14ac:dyDescent="0.3">
      <c r="F869" s="13"/>
      <c r="I869" s="13"/>
    </row>
    <row r="870" spans="6:9" x14ac:dyDescent="0.3">
      <c r="F870" s="13"/>
      <c r="I870" s="13"/>
    </row>
    <row r="871" spans="6:9" x14ac:dyDescent="0.3">
      <c r="F871" s="13"/>
      <c r="I871" s="13"/>
    </row>
    <row r="872" spans="6:9" x14ac:dyDescent="0.3">
      <c r="F872" s="13"/>
      <c r="I872" s="13"/>
    </row>
    <row r="873" spans="6:9" x14ac:dyDescent="0.3">
      <c r="F873" s="13"/>
      <c r="I873" s="13"/>
    </row>
    <row r="874" spans="6:9" x14ac:dyDescent="0.3">
      <c r="F874" s="13"/>
      <c r="I874" s="13"/>
    </row>
    <row r="875" spans="6:9" x14ac:dyDescent="0.3">
      <c r="F875" s="13"/>
      <c r="I875" s="13"/>
    </row>
    <row r="876" spans="6:9" x14ac:dyDescent="0.3">
      <c r="F876" s="13"/>
      <c r="I876" s="13"/>
    </row>
    <row r="877" spans="6:9" x14ac:dyDescent="0.3">
      <c r="F877" s="13"/>
      <c r="I877" s="13"/>
    </row>
    <row r="878" spans="6:9" x14ac:dyDescent="0.3">
      <c r="F878" s="13"/>
      <c r="I878" s="13"/>
    </row>
    <row r="879" spans="6:9" x14ac:dyDescent="0.3">
      <c r="F879" s="13"/>
      <c r="I879" s="13"/>
    </row>
    <row r="880" spans="6:9" x14ac:dyDescent="0.3">
      <c r="F880" s="13"/>
      <c r="I880" s="13"/>
    </row>
    <row r="881" spans="6:9" x14ac:dyDescent="0.3">
      <c r="F881" s="13"/>
      <c r="I881" s="13"/>
    </row>
    <row r="882" spans="6:9" x14ac:dyDescent="0.3">
      <c r="F882" s="13"/>
      <c r="I882" s="13"/>
    </row>
    <row r="883" spans="6:9" x14ac:dyDescent="0.3">
      <c r="F883" s="13"/>
      <c r="I883" s="13"/>
    </row>
    <row r="884" spans="6:9" x14ac:dyDescent="0.3">
      <c r="F884" s="13"/>
      <c r="I884" s="13"/>
    </row>
    <row r="885" spans="6:9" x14ac:dyDescent="0.3">
      <c r="F885" s="13"/>
      <c r="I885" s="13"/>
    </row>
    <row r="886" spans="6:9" x14ac:dyDescent="0.3">
      <c r="F886" s="13"/>
      <c r="I886" s="13"/>
    </row>
    <row r="887" spans="6:9" x14ac:dyDescent="0.3">
      <c r="F887" s="13"/>
      <c r="I887" s="13"/>
    </row>
    <row r="888" spans="6:9" x14ac:dyDescent="0.3">
      <c r="F888" s="13"/>
      <c r="I888" s="13"/>
    </row>
    <row r="889" spans="6:9" x14ac:dyDescent="0.3">
      <c r="F889" s="13"/>
      <c r="I889" s="13"/>
    </row>
    <row r="890" spans="6:9" x14ac:dyDescent="0.3">
      <c r="F890" s="13"/>
      <c r="I890" s="13"/>
    </row>
    <row r="891" spans="6:9" x14ac:dyDescent="0.3">
      <c r="F891" s="13"/>
      <c r="I891" s="13"/>
    </row>
    <row r="892" spans="6:9" x14ac:dyDescent="0.3">
      <c r="F892" s="13"/>
      <c r="I892" s="13"/>
    </row>
    <row r="893" spans="6:9" x14ac:dyDescent="0.3">
      <c r="F893" s="13"/>
      <c r="I893" s="13"/>
    </row>
    <row r="894" spans="6:9" x14ac:dyDescent="0.3">
      <c r="F894" s="13"/>
      <c r="I894" s="13"/>
    </row>
    <row r="895" spans="6:9" x14ac:dyDescent="0.3">
      <c r="F895" s="13"/>
      <c r="I895" s="13"/>
    </row>
    <row r="896" spans="6:9" x14ac:dyDescent="0.3">
      <c r="F896" s="13"/>
      <c r="I896" s="13"/>
    </row>
    <row r="897" spans="6:9" x14ac:dyDescent="0.3">
      <c r="F897" s="13"/>
      <c r="I897" s="13"/>
    </row>
    <row r="898" spans="6:9" x14ac:dyDescent="0.3">
      <c r="F898" s="13"/>
      <c r="I898" s="13"/>
    </row>
    <row r="899" spans="6:9" x14ac:dyDescent="0.3">
      <c r="F899" s="13"/>
      <c r="I899" s="13"/>
    </row>
    <row r="900" spans="6:9" x14ac:dyDescent="0.3">
      <c r="F900" s="13"/>
      <c r="I900" s="13"/>
    </row>
    <row r="901" spans="6:9" x14ac:dyDescent="0.3">
      <c r="F901" s="13"/>
      <c r="I901" s="13"/>
    </row>
    <row r="902" spans="6:9" x14ac:dyDescent="0.3">
      <c r="F902" s="13"/>
      <c r="I902" s="13"/>
    </row>
    <row r="903" spans="6:9" x14ac:dyDescent="0.3">
      <c r="F903" s="13"/>
      <c r="I903" s="13"/>
    </row>
    <row r="904" spans="6:9" x14ac:dyDescent="0.3">
      <c r="F904" s="13"/>
      <c r="I904" s="13"/>
    </row>
    <row r="905" spans="6:9" x14ac:dyDescent="0.3">
      <c r="F905" s="13"/>
      <c r="I905" s="13"/>
    </row>
    <row r="906" spans="6:9" x14ac:dyDescent="0.3">
      <c r="F906" s="13"/>
      <c r="I906" s="13"/>
    </row>
    <row r="907" spans="6:9" x14ac:dyDescent="0.3">
      <c r="F907" s="13"/>
      <c r="I907" s="13"/>
    </row>
    <row r="908" spans="6:9" x14ac:dyDescent="0.3">
      <c r="F908" s="13"/>
      <c r="I908" s="13"/>
    </row>
    <row r="909" spans="6:9" x14ac:dyDescent="0.3">
      <c r="F909" s="13"/>
      <c r="I909" s="13"/>
    </row>
    <row r="910" spans="6:9" x14ac:dyDescent="0.3">
      <c r="F910" s="13"/>
      <c r="I910" s="13"/>
    </row>
    <row r="911" spans="6:9" x14ac:dyDescent="0.3">
      <c r="F911" s="13"/>
      <c r="I911" s="13"/>
    </row>
    <row r="912" spans="6:9" x14ac:dyDescent="0.3">
      <c r="F912" s="13"/>
      <c r="I912" s="13"/>
    </row>
    <row r="913" spans="6:9" x14ac:dyDescent="0.3">
      <c r="F913" s="13"/>
      <c r="I913" s="13"/>
    </row>
    <row r="914" spans="6:9" x14ac:dyDescent="0.3">
      <c r="F914" s="13"/>
      <c r="I914" s="13"/>
    </row>
    <row r="915" spans="6:9" x14ac:dyDescent="0.3">
      <c r="F915" s="13"/>
      <c r="I915" s="13"/>
    </row>
    <row r="916" spans="6:9" x14ac:dyDescent="0.3">
      <c r="F916" s="13"/>
      <c r="I916" s="13"/>
    </row>
    <row r="917" spans="6:9" x14ac:dyDescent="0.3">
      <c r="F917" s="13"/>
      <c r="I917" s="13"/>
    </row>
    <row r="918" spans="6:9" x14ac:dyDescent="0.3">
      <c r="F918" s="13"/>
      <c r="I918" s="13"/>
    </row>
    <row r="919" spans="6:9" x14ac:dyDescent="0.3">
      <c r="F919" s="13"/>
      <c r="I919" s="13"/>
    </row>
    <row r="920" spans="6:9" x14ac:dyDescent="0.3">
      <c r="F920" s="13"/>
      <c r="I920" s="13"/>
    </row>
    <row r="921" spans="6:9" x14ac:dyDescent="0.3">
      <c r="F921" s="13"/>
      <c r="I921" s="13"/>
    </row>
    <row r="922" spans="6:9" x14ac:dyDescent="0.3">
      <c r="F922" s="13"/>
      <c r="I922" s="13"/>
    </row>
    <row r="923" spans="6:9" x14ac:dyDescent="0.3">
      <c r="F923" s="13"/>
      <c r="I923" s="13"/>
    </row>
    <row r="924" spans="6:9" x14ac:dyDescent="0.3">
      <c r="F924" s="13"/>
      <c r="I924" s="13"/>
    </row>
    <row r="925" spans="6:9" x14ac:dyDescent="0.3">
      <c r="F925" s="13"/>
      <c r="I925" s="13"/>
    </row>
    <row r="926" spans="6:9" x14ac:dyDescent="0.3">
      <c r="F926" s="13"/>
      <c r="I926" s="13"/>
    </row>
    <row r="927" spans="6:9" x14ac:dyDescent="0.3">
      <c r="F927" s="13"/>
      <c r="I927" s="13"/>
    </row>
    <row r="928" spans="6:9" x14ac:dyDescent="0.3">
      <c r="F928" s="13"/>
      <c r="I928" s="13"/>
    </row>
    <row r="929" spans="6:9" x14ac:dyDescent="0.3">
      <c r="F929" s="13"/>
      <c r="I929" s="13"/>
    </row>
    <row r="930" spans="6:9" x14ac:dyDescent="0.3">
      <c r="F930" s="13"/>
      <c r="I930" s="13"/>
    </row>
    <row r="931" spans="6:9" x14ac:dyDescent="0.3">
      <c r="F931" s="13"/>
      <c r="I931" s="13"/>
    </row>
    <row r="932" spans="6:9" x14ac:dyDescent="0.3">
      <c r="F932" s="13"/>
      <c r="I932" s="13"/>
    </row>
    <row r="933" spans="6:9" x14ac:dyDescent="0.3">
      <c r="F933" s="13"/>
      <c r="I933" s="13"/>
    </row>
    <row r="934" spans="6:9" x14ac:dyDescent="0.3">
      <c r="F934" s="13"/>
      <c r="I934" s="13"/>
    </row>
    <row r="935" spans="6:9" x14ac:dyDescent="0.3">
      <c r="F935" s="13"/>
      <c r="I935" s="13"/>
    </row>
    <row r="936" spans="6:9" x14ac:dyDescent="0.3">
      <c r="F936" s="13"/>
      <c r="I936" s="13"/>
    </row>
    <row r="937" spans="6:9" x14ac:dyDescent="0.3">
      <c r="F937" s="13"/>
      <c r="I937" s="13"/>
    </row>
    <row r="938" spans="6:9" x14ac:dyDescent="0.3">
      <c r="F938" s="13"/>
      <c r="I938" s="13"/>
    </row>
    <row r="939" spans="6:9" x14ac:dyDescent="0.3">
      <c r="F939" s="13"/>
      <c r="I939" s="13"/>
    </row>
    <row r="940" spans="6:9" x14ac:dyDescent="0.3">
      <c r="F940" s="13"/>
      <c r="I940" s="13"/>
    </row>
    <row r="941" spans="6:9" x14ac:dyDescent="0.3">
      <c r="F941" s="13"/>
      <c r="I941" s="13"/>
    </row>
    <row r="942" spans="6:9" x14ac:dyDescent="0.3">
      <c r="F942" s="13"/>
      <c r="I942" s="13"/>
    </row>
    <row r="943" spans="6:9" x14ac:dyDescent="0.3">
      <c r="F943" s="13"/>
      <c r="I943" s="13"/>
    </row>
    <row r="944" spans="6:9" x14ac:dyDescent="0.3">
      <c r="F944" s="13"/>
      <c r="I944" s="13"/>
    </row>
    <row r="945" spans="6:9" x14ac:dyDescent="0.3">
      <c r="F945" s="13"/>
      <c r="I945" s="13"/>
    </row>
    <row r="946" spans="6:9" x14ac:dyDescent="0.3">
      <c r="F946" s="13"/>
      <c r="I946" s="13"/>
    </row>
    <row r="947" spans="6:9" x14ac:dyDescent="0.3">
      <c r="F947" s="13"/>
      <c r="I947" s="13"/>
    </row>
    <row r="948" spans="6:9" x14ac:dyDescent="0.3">
      <c r="F948" s="13"/>
      <c r="I948" s="13"/>
    </row>
    <row r="949" spans="6:9" x14ac:dyDescent="0.3">
      <c r="F949" s="13"/>
      <c r="I949" s="13"/>
    </row>
    <row r="950" spans="6:9" x14ac:dyDescent="0.3">
      <c r="F950" s="13"/>
      <c r="I950" s="13"/>
    </row>
    <row r="951" spans="6:9" x14ac:dyDescent="0.3">
      <c r="F951" s="13"/>
      <c r="I951" s="13"/>
    </row>
    <row r="952" spans="6:9" x14ac:dyDescent="0.3">
      <c r="F952" s="13"/>
      <c r="I952" s="13"/>
    </row>
    <row r="953" spans="6:9" x14ac:dyDescent="0.3">
      <c r="F953" s="13"/>
      <c r="I953" s="13"/>
    </row>
    <row r="954" spans="6:9" x14ac:dyDescent="0.3">
      <c r="F954" s="13"/>
      <c r="I954" s="13"/>
    </row>
    <row r="955" spans="6:9" x14ac:dyDescent="0.3">
      <c r="F955" s="13"/>
      <c r="I955" s="13"/>
    </row>
    <row r="956" spans="6:9" x14ac:dyDescent="0.3">
      <c r="F956" s="13"/>
      <c r="I956" s="13"/>
    </row>
    <row r="957" spans="6:9" x14ac:dyDescent="0.3">
      <c r="F957" s="13"/>
      <c r="I957" s="13"/>
    </row>
    <row r="958" spans="6:9" x14ac:dyDescent="0.3">
      <c r="F958" s="13"/>
      <c r="I958" s="13"/>
    </row>
    <row r="959" spans="6:9" x14ac:dyDescent="0.3">
      <c r="F959" s="13"/>
      <c r="I959" s="13"/>
    </row>
    <row r="960" spans="6:9" x14ac:dyDescent="0.3">
      <c r="F960" s="13"/>
      <c r="I960" s="13"/>
    </row>
    <row r="961" spans="6:9" x14ac:dyDescent="0.3">
      <c r="F961" s="13"/>
      <c r="I961" s="13"/>
    </row>
    <row r="962" spans="6:9" x14ac:dyDescent="0.3">
      <c r="F962" s="13"/>
      <c r="I962" s="13"/>
    </row>
    <row r="963" spans="6:9" x14ac:dyDescent="0.3">
      <c r="F963" s="13"/>
      <c r="I963" s="13"/>
    </row>
    <row r="964" spans="6:9" x14ac:dyDescent="0.3">
      <c r="F964" s="13"/>
      <c r="I964" s="13"/>
    </row>
    <row r="965" spans="6:9" x14ac:dyDescent="0.3">
      <c r="F965" s="13"/>
      <c r="I965" s="13"/>
    </row>
    <row r="966" spans="6:9" x14ac:dyDescent="0.3">
      <c r="F966" s="13"/>
      <c r="I966" s="13"/>
    </row>
    <row r="967" spans="6:9" x14ac:dyDescent="0.3">
      <c r="F967" s="13"/>
      <c r="I967" s="13"/>
    </row>
    <row r="968" spans="6:9" x14ac:dyDescent="0.3">
      <c r="F968" s="13"/>
      <c r="I968" s="13"/>
    </row>
    <row r="969" spans="6:9" x14ac:dyDescent="0.3">
      <c r="F969" s="13"/>
      <c r="I969" s="13"/>
    </row>
    <row r="970" spans="6:9" x14ac:dyDescent="0.3">
      <c r="F970" s="13"/>
      <c r="I970" s="13"/>
    </row>
    <row r="971" spans="6:9" x14ac:dyDescent="0.3">
      <c r="F971" s="13"/>
      <c r="I971" s="13"/>
    </row>
    <row r="972" spans="6:9" x14ac:dyDescent="0.3">
      <c r="F972" s="13"/>
      <c r="I972" s="13"/>
    </row>
    <row r="973" spans="6:9" x14ac:dyDescent="0.3">
      <c r="F973" s="13"/>
      <c r="I973" s="13"/>
    </row>
    <row r="974" spans="6:9" x14ac:dyDescent="0.3">
      <c r="F974" s="13"/>
      <c r="I974" s="13"/>
    </row>
    <row r="975" spans="6:9" x14ac:dyDescent="0.3">
      <c r="F975" s="13"/>
      <c r="I975" s="13"/>
    </row>
    <row r="976" spans="6:9" x14ac:dyDescent="0.3">
      <c r="F976" s="13"/>
      <c r="I976" s="13"/>
    </row>
    <row r="977" spans="6:9" x14ac:dyDescent="0.3">
      <c r="F977" s="13"/>
      <c r="I977" s="13"/>
    </row>
    <row r="978" spans="6:9" x14ac:dyDescent="0.3">
      <c r="F978" s="13"/>
      <c r="I978" s="13"/>
    </row>
    <row r="979" spans="6:9" x14ac:dyDescent="0.3">
      <c r="F979" s="13"/>
      <c r="I979" s="13"/>
    </row>
    <row r="980" spans="6:9" x14ac:dyDescent="0.3">
      <c r="F980" s="13"/>
      <c r="I980" s="13"/>
    </row>
    <row r="981" spans="6:9" x14ac:dyDescent="0.3">
      <c r="F981" s="13"/>
      <c r="I981" s="13"/>
    </row>
    <row r="982" spans="6:9" x14ac:dyDescent="0.3">
      <c r="F982" s="13"/>
      <c r="I982" s="13"/>
    </row>
    <row r="983" spans="6:9" x14ac:dyDescent="0.3">
      <c r="F983" s="13"/>
      <c r="I983" s="13"/>
    </row>
    <row r="984" spans="6:9" x14ac:dyDescent="0.3">
      <c r="I984" s="13"/>
    </row>
    <row r="985" spans="6:9" x14ac:dyDescent="0.3">
      <c r="I985" s="13"/>
    </row>
  </sheetData>
  <autoFilter ref="A1:I360" xr:uid="{00000000-0009-0000-0000-000000000000}"/>
  <hyperlinks>
    <hyperlink ref="I159" r:id="rId1" xr:uid="{00000000-0004-0000-0000-000000000000}"/>
    <hyperlink ref="I170" r:id="rId2" xr:uid="{00000000-0004-0000-0000-000001000000}"/>
    <hyperlink ref="I177" r:id="rId3" xr:uid="{00000000-0004-0000-0000-000002000000}"/>
    <hyperlink ref="I189" r:id="rId4" xr:uid="{00000000-0004-0000-0000-000003000000}"/>
    <hyperlink ref="I203" r:id="rId5" xr:uid="{00000000-0004-0000-0000-000004000000}"/>
    <hyperlink ref="F243" r:id="rId6" display="https://shop.siyi.biz/products/zt6-mini-optical-pod-dual-sensors-gimbal-camera" xr:uid="{00000000-0004-0000-0000-000005000000}"/>
    <hyperlink ref="I243" r:id="rId7" display="https://shop.siyi.biz/products/zt6-mini-optical-pod-dual-sensors-gimbal-camera" xr:uid="{00000000-0004-0000-0000-000006000000}"/>
    <hyperlink ref="F250" r:id="rId8" display="https://www.oyuncakhobi.com/pixhawk-the-cube-orange-imu-v8-standard-set-otopilot-sistemi-ads-b-carrier-board--distributor-garantili?srsltid=AfmBOoomCRPwd0U-UyWlodMtFPzzRhwXhIJTPLqWq4v1taLF49LvZUGm" xr:uid="{00000000-0004-0000-0000-000007000000}"/>
    <hyperlink ref="I250" r:id="rId9" display="https://www.oyuncakhobi.com/pixhawk-the-cube-orange-imu-v8-standard-set-otopilot-sistemi-ads-b-carrier-board--distributor-garantili?srsltid=AfmBOoomCRPwd0U-UyWlodMtFPzzRhwXhIJTPLqWq4v1taLF49LvZUGm" xr:uid="{00000000-0004-0000-0000-000008000000}"/>
    <hyperlink ref="F257" r:id="rId10" display="https://www.robotistan.com/raspberry-pi-5-8gb" xr:uid="{00000000-0004-0000-0000-000009000000}"/>
    <hyperlink ref="I257" r:id="rId11" display="https://www.robotistan.com/raspberry-pi-5-8gb" xr:uid="{00000000-0004-0000-0000-00000A000000}"/>
    <hyperlink ref="F264" r:id="rId12" display="https://www.oyuncakhobi.com/pixhawk-bundle-rfd900x?srsltid=AfmBOoosyTJaFgF41MBGkRxOKt_dkFAn0DoTp0BvoS4GdmltDimVEUgb" xr:uid="{00000000-0004-0000-0000-00000B000000}"/>
    <hyperlink ref="I264" r:id="rId13" display="https://www.oyuncakhobi.com/pixhawk-bundle-rfd900x?srsltid=AfmBOoosyTJaFgF41MBGkRxOKt_dkFAn0DoTp0BvoS4GdmltDimVEUgb" xr:uid="{00000000-0004-0000-0000-00000C000000}"/>
    <hyperlink ref="F271" r:id="rId14" display="https://www.robocombo.com/radiomaster-rp1-v2-elrs-2.4ghz-nano-alici-4066?srsltid=AfmBOooSdNv4ZTQ3GgJoyzZCv56eI4uMqHmeoSqxEeqqTRhKsJHcZH2t" xr:uid="{00000000-0004-0000-0000-00000D000000}"/>
    <hyperlink ref="I271" r:id="rId15" display="https://www.robocombo.com/radiomaster-rp1-v2-elrs-2.4ghz-nano-alici-4066?srsltid=AfmBOooSdNv4ZTQ3GgJoyzZCv56eI4uMqHmeoSqxEeqqTRhKsJHcZH2t" xr:uid="{00000000-0004-0000-0000-00000E000000}"/>
    <hyperlink ref="F278" r:id="rId16" xr:uid="{00000000-0004-0000-0000-00000F000000}"/>
    <hyperlink ref="I278" r:id="rId17" xr:uid="{00000000-0004-0000-0000-000010000000}"/>
    <hyperlink ref="F285" r:id="rId18" xr:uid="{00000000-0004-0000-0000-000011000000}"/>
    <hyperlink ref="I285" r:id="rId19" xr:uid="{00000000-0004-0000-0000-000012000000}"/>
    <hyperlink ref="F292" r:id="rId20" display="https://www.robotistan.com/pixhawk-px4-differential-airspeed-sensor-kit-pitot-tube" xr:uid="{00000000-0004-0000-0000-000013000000}"/>
    <hyperlink ref="I292" r:id="rId21" display="https://www.robotistan.com/pixhawk-px4-differential-airspeed-sensor-kit-pitot-tube" xr:uid="{00000000-0004-0000-0000-000014000000}"/>
    <hyperlink ref="F299" r:id="rId22" display="https://sky-drones.com/power/smartap-pdb.html" xr:uid="{00000000-0004-0000-0000-000015000000}"/>
    <hyperlink ref="I299" r:id="rId23" display="https://sky-drones.com/power/smartap-pdb.html" xr:uid="{00000000-0004-0000-0000-000016000000}"/>
    <hyperlink ref="F306" r:id="rId24" display="https://holybro.com/products/pm02-v3-12s-power-module?srsltid=AfmBOorWctm2Xgax4VA_VvRQcemo6MNGebUWLBqCEIWHjCAqrf5gCLFU" xr:uid="{00000000-0004-0000-0000-000017000000}"/>
    <hyperlink ref="I306" r:id="rId25" display="https://holybro.com/products/pm02-v3-12s-power-module?srsltid=AfmBOorWctm2Xgax4VA_VvRQcemo6MNGebUWLBqCEIWHjCAqrf5gCLFU" xr:uid="{00000000-0004-0000-0000-000018000000}"/>
    <hyperlink ref="F313" r:id="rId26" display="https://sixfab.com/product/sixfab-5g-modem-kit-for-raspberry-pi-5/?srsltid=AfmBOoo2WjhmxjXD90hv0e38MDjJ5jnuzeVkFl46WoL1XRdu8nR8MO5a" xr:uid="{00000000-0004-0000-0000-000019000000}"/>
    <hyperlink ref="I313" r:id="rId27" display="https://sixfab.com/product/sixfab-5g-modem-kit-for-raspberry-pi-5/?srsltid=AfmBOoo2WjhmxjXD90hv0e38MDjJ5jnuzeVkFl46WoL1XRdu8nR8MO5a" xr:uid="{00000000-0004-0000-0000-00001A000000}"/>
    <hyperlink ref="F320" r:id="rId28" display="https://www.oyuncakhobi.com/pixhawk-here-3-can-gps-/-gnss-with-m8p?srsltid=AfmBOoo0wpw4qrSRepREMbBRX6NRd9AQj4UQBeIpNdC-QjNVGYdDbwXB" xr:uid="{00000000-0004-0000-0000-00001B000000}"/>
    <hyperlink ref="I320" r:id="rId29" display="https://www.oyuncakhobi.com/pixhawk-here-3-can-gps-/-gnss-with-m8p?srsltid=AfmBOoo0wpw4qrSRepREMbBRX6NRd9AQj4UQBeIpNdC-QjNVGYdDbwXB" xr:uid="{00000000-0004-0000-0000-00001C000000}"/>
    <hyperlink ref="F326" r:id="rId30" xr:uid="{00000000-0004-0000-0000-00001D000000}"/>
    <hyperlink ref="I326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UAV Design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AutoTwin</dc:creator>
  <cp:lastModifiedBy>Yuksel Berk Arpaciogullari</cp:lastModifiedBy>
  <dcterms:created xsi:type="dcterms:W3CDTF">2026-05-22T14:25:05Z</dcterms:created>
  <dcterms:modified xsi:type="dcterms:W3CDTF">2026-09-17T13:24:43Z</dcterms:modified>
</cp:coreProperties>
</file>