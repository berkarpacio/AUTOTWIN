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7050d7a97053385/Desktop/AutoTwin/campaigns/small_GH2_UAV_lift_cruise/"/>
    </mc:Choice>
  </mc:AlternateContent>
  <xr:revisionPtr revIDLastSave="0" documentId="11_5A392E4261770BAD6D1581957F1422990C8ADC4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V Design Requirements" sheetId="1" r:id="rId1"/>
    <sheet name="Aircraft Datasheet" sheetId="2" r:id="rId2"/>
    <sheet name="Mass Proper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C57" i="3"/>
  <c r="C56" i="3"/>
  <c r="F48" i="3"/>
  <c r="E48" i="3"/>
  <c r="D48" i="3"/>
  <c r="C48" i="3"/>
  <c r="F47" i="3"/>
  <c r="E47" i="3"/>
  <c r="D47" i="3"/>
  <c r="C47" i="3"/>
  <c r="F46" i="3"/>
  <c r="E46" i="3"/>
  <c r="D46" i="3"/>
  <c r="C46" i="3"/>
  <c r="H35" i="3"/>
  <c r="G35" i="3"/>
  <c r="G34" i="3"/>
  <c r="H33" i="3"/>
  <c r="G33" i="3"/>
  <c r="H32" i="3"/>
  <c r="G32" i="3"/>
  <c r="H31" i="3"/>
  <c r="G31" i="3"/>
  <c r="H30" i="3"/>
  <c r="G30" i="3"/>
  <c r="H29" i="3"/>
  <c r="G29" i="3"/>
  <c r="H28" i="3"/>
  <c r="G28" i="3"/>
  <c r="H27" i="3"/>
  <c r="G27" i="3"/>
  <c r="P26" i="3"/>
  <c r="N26" i="3"/>
  <c r="H26" i="3"/>
  <c r="G26" i="3"/>
  <c r="H25" i="3"/>
  <c r="G25" i="3"/>
  <c r="H24" i="3"/>
  <c r="G24" i="3"/>
  <c r="H23" i="3"/>
  <c r="G23" i="3"/>
  <c r="H22" i="3"/>
  <c r="G22" i="3"/>
  <c r="H21" i="3"/>
  <c r="G21" i="3"/>
  <c r="L20" i="3"/>
  <c r="L23" i="3" s="1"/>
  <c r="H20" i="3"/>
  <c r="G20" i="3"/>
  <c r="H19" i="3"/>
  <c r="G19" i="3"/>
  <c r="H18" i="3"/>
  <c r="G18" i="3"/>
  <c r="H17" i="3"/>
  <c r="G17" i="3"/>
  <c r="L16" i="3"/>
  <c r="L25" i="3" s="1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C3" i="3"/>
  <c r="E36" i="3" s="1"/>
  <c r="I368" i="1"/>
  <c r="I327" i="1"/>
  <c r="I326" i="1"/>
  <c r="I325" i="1"/>
  <c r="I324" i="1"/>
  <c r="I323" i="1"/>
  <c r="I274" i="1"/>
  <c r="I266" i="1"/>
  <c r="I258" i="1"/>
  <c r="I256" i="1"/>
  <c r="I280" i="1" s="1"/>
  <c r="I250" i="1"/>
  <c r="I241" i="1"/>
  <c r="I239" i="1"/>
  <c r="I231" i="1"/>
  <c r="I221" i="1"/>
  <c r="I211" i="1"/>
  <c r="I185" i="1"/>
  <c r="I184" i="1"/>
  <c r="I183" i="1"/>
  <c r="I170" i="1"/>
  <c r="I121" i="1"/>
  <c r="I133" i="1" s="1"/>
  <c r="I71" i="1"/>
  <c r="I76" i="1" s="1"/>
  <c r="I49" i="1"/>
  <c r="I32" i="1"/>
  <c r="I31" i="1"/>
  <c r="I29" i="1"/>
  <c r="I27" i="1"/>
  <c r="I26" i="1"/>
  <c r="I376" i="1" s="1"/>
  <c r="I20" i="1"/>
  <c r="I19" i="1"/>
  <c r="I17" i="1"/>
  <c r="I15" i="1"/>
  <c r="I13" i="1"/>
  <c r="I11" i="1"/>
  <c r="I10" i="1"/>
  <c r="I9" i="1"/>
  <c r="I8" i="1"/>
  <c r="I7" i="1"/>
  <c r="I6" i="1"/>
  <c r="I5" i="1"/>
  <c r="I4" i="1"/>
  <c r="I3" i="1"/>
  <c r="I2" i="1"/>
  <c r="I132" i="1" l="1"/>
  <c r="I139" i="1"/>
  <c r="I140" i="1" s="1"/>
  <c r="I136" i="1"/>
  <c r="G36" i="3"/>
  <c r="H36" i="3"/>
  <c r="C4" i="3" s="1"/>
  <c r="I79" i="1"/>
  <c r="I77" i="1"/>
  <c r="I272" i="1"/>
  <c r="I264" i="1"/>
  <c r="I78" i="1"/>
  <c r="L24" i="3"/>
  <c r="L26" i="3" s="1"/>
  <c r="I81" i="1"/>
  <c r="I82" i="1" s="1"/>
  <c r="L27" i="3"/>
  <c r="I83" i="1" l="1"/>
  <c r="I80" i="1"/>
  <c r="I120" i="1" s="1"/>
  <c r="I167" i="1"/>
  <c r="I119" i="1" l="1"/>
  <c r="I123" i="1"/>
  <c r="I255" i="1"/>
  <c r="I263" i="1" s="1"/>
  <c r="I271" i="1"/>
  <c r="I279" i="1" s="1"/>
  <c r="I125" i="1" l="1"/>
  <c r="I124" i="1"/>
  <c r="I128" i="1" l="1"/>
  <c r="I129" i="1" s="1"/>
  <c r="I126" i="1"/>
  <c r="I135" i="1"/>
  <c r="I134" i="1" s="1"/>
  <c r="I137" i="1" s="1"/>
  <c r="I138" i="1" s="1"/>
  <c r="I127" i="1"/>
  <c r="I130" i="1"/>
  <c r="I131" i="1" s="1"/>
  <c r="I122" i="1"/>
</calcChain>
</file>

<file path=xl/sharedStrings.xml><?xml version="1.0" encoding="utf-8"?>
<sst xmlns="http://schemas.openxmlformats.org/spreadsheetml/2006/main" count="2336" uniqueCount="1176">
  <si>
    <t>Rquirement ID</t>
  </si>
  <si>
    <t>Component</t>
  </si>
  <si>
    <t>Statement</t>
  </si>
  <si>
    <t>Rationale</t>
  </si>
  <si>
    <t>Parameter</t>
  </si>
  <si>
    <t>Value</t>
  </si>
  <si>
    <t>Parameter Kind</t>
  </si>
  <si>
    <t>MISSION-001</t>
  </si>
  <si>
    <t>MISSION</t>
  </si>
  <si>
    <t>t_hover</t>
  </si>
  <si>
    <t>known variable</t>
  </si>
  <si>
    <t>MISSION-002</t>
  </si>
  <si>
    <t>t_vertical_climb</t>
  </si>
  <si>
    <t>MISSION-003</t>
  </si>
  <si>
    <t>range_cruise</t>
  </si>
  <si>
    <t>compued variable</t>
  </si>
  <si>
    <t>MISSION-004</t>
  </si>
  <si>
    <t>b_cruise</t>
  </si>
  <si>
    <t>1</t>
  </si>
  <si>
    <t>MISSION-005</t>
  </si>
  <si>
    <t>b_climb</t>
  </si>
  <si>
    <t>MISSION-006</t>
  </si>
  <si>
    <t>h_cruise</t>
  </si>
  <si>
    <t>MISSION-007</t>
  </si>
  <si>
    <t>h_climb_start</t>
  </si>
  <si>
    <t>MISSION-008</t>
  </si>
  <si>
    <t>h_hover</t>
  </si>
  <si>
    <t>MISSION-009</t>
  </si>
  <si>
    <t>theta_climb</t>
  </si>
  <si>
    <t>10</t>
  </si>
  <si>
    <t>MISSION-010</t>
  </si>
  <si>
    <t>g</t>
  </si>
  <si>
    <t>9.81</t>
  </si>
  <si>
    <t>MISSION-011</t>
  </si>
  <si>
    <t>hybrid_batt_factor_hover</t>
  </si>
  <si>
    <t>0.792416243765336</t>
  </si>
  <si>
    <t>optimization variable</t>
  </si>
  <si>
    <t>set variable</t>
  </si>
  <si>
    <t>MISSION-012</t>
  </si>
  <si>
    <t>hybrid_batt_factor_hover_bounds</t>
  </si>
  <si>
    <t>[0.0, 1.0]</t>
  </si>
  <si>
    <t>MISSION-013</t>
  </si>
  <si>
    <t>hybrid_batt_factor_cruise</t>
  </si>
  <si>
    <t>0.00014369836948826447</t>
  </si>
  <si>
    <t>MISSION-014</t>
  </si>
  <si>
    <t>hybrid_batt_factor_cruise_bounds</t>
  </si>
  <si>
    <t>MISSION-015</t>
  </si>
  <si>
    <t>hybrid_batt_factor_climb</t>
  </si>
  <si>
    <t>0.8027500653367441</t>
  </si>
  <si>
    <t>MISSION-016</t>
  </si>
  <si>
    <t>hybrid_batt_factor_climb_bounds</t>
  </si>
  <si>
    <t>MISSION-017</t>
  </si>
  <si>
    <t>hybrid_batt_factor_vertical_climb</t>
  </si>
  <si>
    <t>0.9342634217062661</t>
  </si>
  <si>
    <t>MISSION-018</t>
  </si>
  <si>
    <t>hybrid_batt_factor_vertical_climb_bounds</t>
  </si>
  <si>
    <t>MISSION-019</t>
  </si>
  <si>
    <t>vertical_climb_factor</t>
  </si>
  <si>
    <t>MISSION-020</t>
  </si>
  <si>
    <t>t_trip</t>
  </si>
  <si>
    <t>196.8976715949463</t>
  </si>
  <si>
    <t>computed variable</t>
  </si>
  <si>
    <t>MISSION-021</t>
  </si>
  <si>
    <t>t_cruise</t>
  </si>
  <si>
    <t>185.18535917443873</t>
  </si>
  <si>
    <t>MISSION-022</t>
  </si>
  <si>
    <t>t_climb</t>
  </si>
  <si>
    <t>0.7123124205076012</t>
  </si>
  <si>
    <t>MISSION-023</t>
  </si>
  <si>
    <t>e_trip</t>
  </si>
  <si>
    <t>2487.011560444254</t>
  </si>
  <si>
    <t>unused variable</t>
  </si>
  <si>
    <t>SYSTEM-001</t>
  </si>
  <si>
    <t>SYSTEM</t>
  </si>
  <si>
    <t>MTOM</t>
  </si>
  <si>
    <t>17.171529500647</t>
  </si>
  <si>
    <t>SYSTEM-002</t>
  </si>
  <si>
    <t>MTOM_bounds</t>
  </si>
  <si>
    <t>[1.0, 25.0]</t>
  </si>
  <si>
    <t>SYSTEM-003</t>
  </si>
  <si>
    <t>V_cruise</t>
  </si>
  <si>
    <t>17.999983088260446</t>
  </si>
  <si>
    <t>SYSTEM-004</t>
  </si>
  <si>
    <t>V_cruise_bounds</t>
  </si>
  <si>
    <t>[5.0, 18.0]</t>
  </si>
  <si>
    <t>SYSTEM-005</t>
  </si>
  <si>
    <t>V_climb</t>
  </si>
  <si>
    <t>10.779484427240273</t>
  </si>
  <si>
    <t>SYSTEM-006</t>
  </si>
  <si>
    <t>V_climb_bounds</t>
  </si>
  <si>
    <t>SYSTEM-007</t>
  </si>
  <si>
    <t>stall_margin</t>
  </si>
  <si>
    <t>5.0</t>
  </si>
  <si>
    <t>SYSTEM-008</t>
  </si>
  <si>
    <t>V_stall</t>
  </si>
  <si>
    <t>11.01286355086181</t>
  </si>
  <si>
    <t>SYSTEM-009</t>
  </si>
  <si>
    <t>CD0</t>
  </si>
  <si>
    <t>SYSTEM-010</t>
  </si>
  <si>
    <t>CL_max</t>
  </si>
  <si>
    <t>1.6</t>
  </si>
  <si>
    <t>SYSTEM-011</t>
  </si>
  <si>
    <t>CL_cruise</t>
  </si>
  <si>
    <t>0.5989303283518634</t>
  </si>
  <si>
    <t>SYSTEM-012</t>
  </si>
  <si>
    <t>CD_cruise</t>
  </si>
  <si>
    <t>0.04679207202920763</t>
  </si>
  <si>
    <t>SYSTEM-013</t>
  </si>
  <si>
    <t>LD_cruise</t>
  </si>
  <si>
    <t>12.799824892943635</t>
  </si>
  <si>
    <t>SYSTEM-014</t>
  </si>
  <si>
    <t>l_max</t>
  </si>
  <si>
    <t>SYSTEM-015</t>
  </si>
  <si>
    <t>P_vertical_climb</t>
  </si>
  <si>
    <t>4485.161298813819</t>
  </si>
  <si>
    <t>SYSTEM-016</t>
  </si>
  <si>
    <t>P_hover</t>
  </si>
  <si>
    <t>1585.7439845533572</t>
  </si>
  <si>
    <t>SYSTEM-017</t>
  </si>
  <si>
    <t>P_cruise</t>
  </si>
  <si>
    <t>329.0133801478326</t>
  </si>
  <si>
    <t>SYSTEM-018</t>
  </si>
  <si>
    <t>P_climb</t>
  </si>
  <si>
    <t>508.3768049782089</t>
  </si>
  <si>
    <t>SYSTEM-019</t>
  </si>
  <si>
    <t>energy_stored_onboard</t>
  </si>
  <si>
    <t>SYSTEM-020</t>
  </si>
  <si>
    <t>wing_loading</t>
  </si>
  <si>
    <t>117.83394626060894</t>
  </si>
  <si>
    <t>SYSTEM-021</t>
  </si>
  <si>
    <t>disk_loading</t>
  </si>
  <si>
    <t>98.82500041398714</t>
  </si>
  <si>
    <t>SYSTEM-022</t>
  </si>
  <si>
    <t>tol_mass_kg</t>
  </si>
  <si>
    <t>SYSTEM-023</t>
  </si>
  <si>
    <t>max_length</t>
  </si>
  <si>
    <t>2.5</t>
  </si>
  <si>
    <t>SYSTEM-024</t>
  </si>
  <si>
    <t>system_cost</t>
  </si>
  <si>
    <t>unknown variable</t>
  </si>
  <si>
    <t>MAIN_WING-001</t>
  </si>
  <si>
    <t>MAIN_WING</t>
  </si>
  <si>
    <t>S_wing</t>
  </si>
  <si>
    <t>1.4295770425000156</t>
  </si>
  <si>
    <t>MAIN_WING-002</t>
  </si>
  <si>
    <t>S_wing_bounds</t>
  </si>
  <si>
    <t>[0.1, 20.0]</t>
  </si>
  <si>
    <t>MAIN_WING-003</t>
  </si>
  <si>
    <t>AR_wing</t>
  </si>
  <si>
    <t>7.99980725948082</t>
  </si>
  <si>
    <t>MAIN_WING-004</t>
  </si>
  <si>
    <t>AR_wing_bounds</t>
  </si>
  <si>
    <t>[6.0, 8.0]</t>
  </si>
  <si>
    <t>MAIN_WING-005</t>
  </si>
  <si>
    <t>theta_wing</t>
  </si>
  <si>
    <t>MAIN_WING-006</t>
  </si>
  <si>
    <t>taper_ratio_wing</t>
  </si>
  <si>
    <t>MAIN_WING-007</t>
  </si>
  <si>
    <t>t_over_c_wing</t>
  </si>
  <si>
    <t>MAIN_WING-008</t>
  </si>
  <si>
    <t>e_wing</t>
  </si>
  <si>
    <t>MAIN_WING-009</t>
  </si>
  <si>
    <t>x_loc_wing</t>
  </si>
  <si>
    <t>MAIN_WING-010</t>
  </si>
  <si>
    <t>y_loc_wing</t>
  </si>
  <si>
    <t>MAIN_WING-011</t>
  </si>
  <si>
    <t>z_loc_wing</t>
  </si>
  <si>
    <t>MAIN_WING-012</t>
  </si>
  <si>
    <t>x_rot_wing</t>
  </si>
  <si>
    <t>MAIN_WING-013</t>
  </si>
  <si>
    <t>y_rot_wing</t>
  </si>
  <si>
    <t>MAIN_WING-014</t>
  </si>
  <si>
    <t>z_rot_wing</t>
  </si>
  <si>
    <t>MAIN_WING-015</t>
  </si>
  <si>
    <t>root_ThickChord_wing</t>
  </si>
  <si>
    <t>MAIN_WING-016</t>
  </si>
  <si>
    <t>root_Camber_wing</t>
  </si>
  <si>
    <t>MAIN_WING-017</t>
  </si>
  <si>
    <t>root_CamberLoc_wing</t>
  </si>
  <si>
    <t>MAIN_WING-018</t>
  </si>
  <si>
    <t>tip_ThickChord_wing</t>
  </si>
  <si>
    <t>MAIN_WING-019</t>
  </si>
  <si>
    <t>tip_Camber_wing</t>
  </si>
  <si>
    <t>MAIN_WING-020</t>
  </si>
  <si>
    <t>tip_CamberLoc_wing</t>
  </si>
  <si>
    <t>MAIN_WING-021</t>
  </si>
  <si>
    <t>b_wing</t>
  </si>
  <si>
    <t>3.381765929596362</t>
  </si>
  <si>
    <t xml:space="preserve"> computed variable</t>
  </si>
  <si>
    <t>MAIN_WING-022</t>
  </si>
  <si>
    <t>b_wing_bounds</t>
  </si>
  <si>
    <t>[0.0, 4.0]</t>
  </si>
  <si>
    <t>MAIN_WING-023</t>
  </si>
  <si>
    <t>aileron_hinge</t>
  </si>
  <si>
    <t>MAIN_WING-024</t>
  </si>
  <si>
    <t>aileron_start</t>
  </si>
  <si>
    <t>MAIN_WING-025</t>
  </si>
  <si>
    <t>aileron_end</t>
  </si>
  <si>
    <t>MAIN_WING-026</t>
  </si>
  <si>
    <t>c_root_wing</t>
  </si>
  <si>
    <t>0.4697010287464567</t>
  </si>
  <si>
    <t>MAIN_WING-027</t>
  </si>
  <si>
    <t>c_tip_wing</t>
  </si>
  <si>
    <t>0.3757608229971654</t>
  </si>
  <si>
    <t>MAIN_WING-028</t>
  </si>
  <si>
    <t>c_tip_wing_x</t>
  </si>
  <si>
    <t>MAIN_WING-029</t>
  </si>
  <si>
    <t>mac_wing</t>
  </si>
  <si>
    <t>MAIN_WING-030</t>
  </si>
  <si>
    <t>quarter_chord_wing</t>
  </si>
  <si>
    <t>MAIN_WING-031</t>
  </si>
  <si>
    <t>mac_wing_y</t>
  </si>
  <si>
    <t>MAIN_WING-032</t>
  </si>
  <si>
    <t>mac_wing_x</t>
  </si>
  <si>
    <t>MAIN_WING-033</t>
  </si>
  <si>
    <t>cg_x</t>
  </si>
  <si>
    <t>TAIL-001</t>
  </si>
  <si>
    <t>TAIL</t>
  </si>
  <si>
    <t>c_HT</t>
  </si>
  <si>
    <t>TAIL-002</t>
  </si>
  <si>
    <t>c_VT</t>
  </si>
  <si>
    <t>TAIL-003</t>
  </si>
  <si>
    <t>AR_hstab</t>
  </si>
  <si>
    <t>TAIL-004</t>
  </si>
  <si>
    <t>AR_vstab</t>
  </si>
  <si>
    <t>TAIL-005</t>
  </si>
  <si>
    <t>taper_ratio_hstab</t>
  </si>
  <si>
    <t>TAIL-006</t>
  </si>
  <si>
    <t>taper_ratio_vstab</t>
  </si>
  <si>
    <t>TAIL-007</t>
  </si>
  <si>
    <t>theta_hstab</t>
  </si>
  <si>
    <t>2</t>
  </si>
  <si>
    <t>TAIL-008</t>
  </si>
  <si>
    <t>theta_vstab</t>
  </si>
  <si>
    <t>TAIL-009</t>
  </si>
  <si>
    <t>z_loc_vstab</t>
  </si>
  <si>
    <t>TAIL-010</t>
  </si>
  <si>
    <t>x_rot_hstab</t>
  </si>
  <si>
    <t>TAIL-011</t>
  </si>
  <si>
    <t>x_rot_vstab</t>
  </si>
  <si>
    <t>TAIL-012</t>
  </si>
  <si>
    <t>y_rot_hstab</t>
  </si>
  <si>
    <t>0</t>
  </si>
  <si>
    <t>TAIL-013</t>
  </si>
  <si>
    <t>y_rot_vstab</t>
  </si>
  <si>
    <t>TAIL-014</t>
  </si>
  <si>
    <t>z_rot_hstab</t>
  </si>
  <si>
    <t>TAIL-015</t>
  </si>
  <si>
    <t>z_rot_vstab</t>
  </si>
  <si>
    <t>TAIL-016</t>
  </si>
  <si>
    <t>root_ThickChord_hstab</t>
  </si>
  <si>
    <t>TAIL-017</t>
  </si>
  <si>
    <t>root_ThickChord_vstab</t>
  </si>
  <si>
    <t>TAIL-018</t>
  </si>
  <si>
    <t>root_Camber_hstab</t>
  </si>
  <si>
    <t>TAIL-019</t>
  </si>
  <si>
    <t>root_Camber_vstab</t>
  </si>
  <si>
    <t>TAIL-020</t>
  </si>
  <si>
    <t>root_CamberLoc_hstab</t>
  </si>
  <si>
    <t>0.4</t>
  </si>
  <si>
    <t>TAIL-021</t>
  </si>
  <si>
    <t>root_CamberLoc_vstab</t>
  </si>
  <si>
    <t>TAIL-022</t>
  </si>
  <si>
    <t>tip_ThickChord_hstab</t>
  </si>
  <si>
    <t>TAIL-023</t>
  </si>
  <si>
    <t>tip_ThickChord_vstab</t>
  </si>
  <si>
    <t>TAIL-024</t>
  </si>
  <si>
    <t>tip_Camber_hstab</t>
  </si>
  <si>
    <t>TAIL-025</t>
  </si>
  <si>
    <t>tip_Camber_vstab</t>
  </si>
  <si>
    <t>TAIL-026</t>
  </si>
  <si>
    <t>tip_CamberLoc_hstab</t>
  </si>
  <si>
    <t>TAIL-027</t>
  </si>
  <si>
    <t>tip_CamberLoc_vstab</t>
  </si>
  <si>
    <t>TAIL-028</t>
  </si>
  <si>
    <t>ctrl_hinge_hstab</t>
  </si>
  <si>
    <t>0.3</t>
  </si>
  <si>
    <t>TAIL-029</t>
  </si>
  <si>
    <t>ctrl_hinge_vstab</t>
  </si>
  <si>
    <t>TAIL-030</t>
  </si>
  <si>
    <t>ctrl_start_hstab</t>
  </si>
  <si>
    <t>TAIL-031</t>
  </si>
  <si>
    <t>ctrl_start_vstab</t>
  </si>
  <si>
    <t>TAIL-032</t>
  </si>
  <si>
    <t>ctrl_end_hstab</t>
  </si>
  <si>
    <t>TAIL-033</t>
  </si>
  <si>
    <t>ctrl_end_vstab</t>
  </si>
  <si>
    <t>TAIL-034</t>
  </si>
  <si>
    <t>tail_rotor_clearance</t>
  </si>
  <si>
    <t>0.04</t>
  </si>
  <si>
    <t>TAIL-035</t>
  </si>
  <si>
    <t>x_loc_hstab</t>
  </si>
  <si>
    <t>1.2152794171347006</t>
  </si>
  <si>
    <t>TAIL-036</t>
  </si>
  <si>
    <t>x_loc_vstab</t>
  </si>
  <si>
    <t>TAIL-037</t>
  </si>
  <si>
    <t>y_loc_vstab</t>
  </si>
  <si>
    <t>0.5046737707807862</t>
  </si>
  <si>
    <t>TAIL-038</t>
  </si>
  <si>
    <t>z_loc_hstab</t>
  </si>
  <si>
    <t>0.5462206507425595</t>
  </si>
  <si>
    <t>TAIL-039</t>
  </si>
  <si>
    <t>S_vstab</t>
  </si>
  <si>
    <t>0.11934279971905008</t>
  </si>
  <si>
    <t>TAIL-040</t>
  </si>
  <si>
    <t>b_vstab</t>
  </si>
  <si>
    <t>TAIL-041</t>
  </si>
  <si>
    <t>c_root_vstab</t>
  </si>
  <si>
    <t>0.2184882602970238</t>
  </si>
  <si>
    <t>TAIL-042</t>
  </si>
  <si>
    <t>c_tip_vstab</t>
  </si>
  <si>
    <t>TAIL-043</t>
  </si>
  <si>
    <t>c_tip_vstab_x</t>
  </si>
  <si>
    <t>TAIL-044</t>
  </si>
  <si>
    <t>mac_vstab</t>
  </si>
  <si>
    <t>TAIL-045</t>
  </si>
  <si>
    <t>quarter_chord_vstab</t>
  </si>
  <si>
    <t>TAIL-046</t>
  </si>
  <si>
    <t>mac_vstab_y</t>
  </si>
  <si>
    <t>TAIL-047</t>
  </si>
  <si>
    <t>mac_vstab_x</t>
  </si>
  <si>
    <t>TAIL-048</t>
  </si>
  <si>
    <t>S_hstab</t>
  </si>
  <si>
    <t>0.1273478074570488</t>
  </si>
  <si>
    <t>TAIL-049</t>
  </si>
  <si>
    <t>b_hstab</t>
  </si>
  <si>
    <t>1.0093475415615725</t>
  </si>
  <si>
    <t>TAIL-050</t>
  </si>
  <si>
    <t>c_root_hstab</t>
  </si>
  <si>
    <t>TAIL-051</t>
  </si>
  <si>
    <t>c_tip_hstab</t>
  </si>
  <si>
    <t>TAIL-052</t>
  </si>
  <si>
    <t>c_tip_hstab_x</t>
  </si>
  <si>
    <t>TAIL-053</t>
  </si>
  <si>
    <t>mac_hstab</t>
  </si>
  <si>
    <t>TAIL-054</t>
  </si>
  <si>
    <t>quarter_chord_hstab</t>
  </si>
  <si>
    <t>TAIL-055</t>
  </si>
  <si>
    <t>mac_hstab_y</t>
  </si>
  <si>
    <t>TAIL-056</t>
  </si>
  <si>
    <t>mac_hstab_x</t>
  </si>
  <si>
    <t>FUSELAGE-001</t>
  </si>
  <si>
    <t>FUSELAGE</t>
  </si>
  <si>
    <t>fuselage_l</t>
  </si>
  <si>
    <t>0.7653302320795179</t>
  </si>
  <si>
    <t>FUSELAGE-002</t>
  </si>
  <si>
    <t>fuselage_w</t>
  </si>
  <si>
    <t>0.19965136489030905</t>
  </si>
  <si>
    <t>FUSELAGE-003</t>
  </si>
  <si>
    <t>tank_l</t>
  </si>
  <si>
    <t>0.3327522748171817</t>
  </si>
  <si>
    <t>FUSELAGE-004</t>
  </si>
  <si>
    <t>tank_w</t>
  </si>
  <si>
    <t>FUSELAGE-005</t>
  </si>
  <si>
    <t>motor_mount_extension</t>
  </si>
  <si>
    <t>FUSELAGE-006</t>
  </si>
  <si>
    <t>hover_rotor_clearance</t>
  </si>
  <si>
    <t>FUSELAGE-007</t>
  </si>
  <si>
    <t>fuselage_y_loc</t>
  </si>
  <si>
    <t>FUSELAGE-008</t>
  </si>
  <si>
    <t>fuselage_x_loc</t>
  </si>
  <si>
    <t>FUSELAGE-009</t>
  </si>
  <si>
    <t>fuselage_z_loc</t>
  </si>
  <si>
    <t>FUSELAGE-010</t>
  </si>
  <si>
    <t>fuselage_XSec_0_XLoc</t>
  </si>
  <si>
    <t>FUSELAGE-011</t>
  </si>
  <si>
    <t>fuselage_XSec_1_XLoc</t>
  </si>
  <si>
    <t>FUSELAGE-012</t>
  </si>
  <si>
    <t>fuselage_XSec_2_XLoc</t>
  </si>
  <si>
    <t>FUSELAGE-013</t>
  </si>
  <si>
    <t>fuselage_XSec_3_XLoc</t>
  </si>
  <si>
    <t>FUSELAGE-014</t>
  </si>
  <si>
    <t>fuselage_XSec_0_ZLoc</t>
  </si>
  <si>
    <t>FUSELAGE-015</t>
  </si>
  <si>
    <t>fuselage_XSec_1_ZLoc</t>
  </si>
  <si>
    <t>FUSELAGE-016</t>
  </si>
  <si>
    <t>fuselage_XSec_2_ZLoc</t>
  </si>
  <si>
    <t>FUSELAGE-017</t>
  </si>
  <si>
    <t>fuselage_XSec_3_ZLoc</t>
  </si>
  <si>
    <t>FUSELAGE-018</t>
  </si>
  <si>
    <t>fuselage_XSec_0_w</t>
  </si>
  <si>
    <t>FUSELAGE-019</t>
  </si>
  <si>
    <t>fuselage_XSec_1_w</t>
  </si>
  <si>
    <t>FUSELAGE-020</t>
  </si>
  <si>
    <t>fuselage_XSec_2_w</t>
  </si>
  <si>
    <t>FUSELAGE-021</t>
  </si>
  <si>
    <t>fuselage_XSec_3_w</t>
  </si>
  <si>
    <t>FUSELAGE-022</t>
  </si>
  <si>
    <t>fuselage_XSec_0_h</t>
  </si>
  <si>
    <t>FUSELAGE-023</t>
  </si>
  <si>
    <t>fuselage_XSec_1_h</t>
  </si>
  <si>
    <t>FUSELAGE-024</t>
  </si>
  <si>
    <t>fuselage_XSec_2_h</t>
  </si>
  <si>
    <t>FUSELAGE-025</t>
  </si>
  <si>
    <t>fuselage_XSec_3_h</t>
  </si>
  <si>
    <t>FUSELAGE-026</t>
  </si>
  <si>
    <t>rotor_arm</t>
  </si>
  <si>
    <t>BATTERY-001</t>
  </si>
  <si>
    <t>BATTERY</t>
  </si>
  <si>
    <t>product_link_battery</t>
  </si>
  <si>
    <t xml:space="preserve">MAXAMPS 12S2P 6500 mAh </t>
  </si>
  <si>
    <t>matched variable</t>
  </si>
  <si>
    <t>BATTERY-002</t>
  </si>
  <si>
    <t>rho_battery</t>
  </si>
  <si>
    <t>180</t>
  </si>
  <si>
    <t>BATTERY-003</t>
  </si>
  <si>
    <t>e_usable_battery</t>
  </si>
  <si>
    <t>0.85</t>
  </si>
  <si>
    <t>BATTERY-004</t>
  </si>
  <si>
    <t>mass_battery</t>
  </si>
  <si>
    <t>1.8578937617397497</t>
  </si>
  <si>
    <t>BATTERY-005</t>
  </si>
  <si>
    <t>energy_battery</t>
  </si>
  <si>
    <t>284.2577455461817</t>
  </si>
  <si>
    <t>BATTERY-006</t>
  </si>
  <si>
    <t>energy_battery_stored</t>
  </si>
  <si>
    <t>334.420877113155</t>
  </si>
  <si>
    <t>BATTERY-007</t>
  </si>
  <si>
    <t>num_cells</t>
  </si>
  <si>
    <t>BATTERY-008</t>
  </si>
  <si>
    <t>capacity_battery</t>
  </si>
  <si>
    <t>BATTERY-009</t>
  </si>
  <si>
    <t>max_length_battery</t>
  </si>
  <si>
    <t>BATTERY-010</t>
  </si>
  <si>
    <t>max_height_battery</t>
  </si>
  <si>
    <t>BATTERY-011</t>
  </si>
  <si>
    <t>max_width_battery</t>
  </si>
  <si>
    <t>BATTERY-012</t>
  </si>
  <si>
    <t>cost_battery</t>
  </si>
  <si>
    <t>GH2_TANK-001</t>
  </si>
  <si>
    <t>GH2_TANK</t>
  </si>
  <si>
    <t>product_link_GH2_tank</t>
  </si>
  <si>
    <t xml:space="preserve">H3 Dynamics F6L </t>
  </si>
  <si>
    <t>GH2_TANK-002</t>
  </si>
  <si>
    <t>gravimetric_index</t>
  </si>
  <si>
    <t>GH2_TANK-003</t>
  </si>
  <si>
    <t>LHV_H2</t>
  </si>
  <si>
    <t>33330</t>
  </si>
  <si>
    <t>GH2_TANK-004</t>
  </si>
  <si>
    <t>tank_AR</t>
  </si>
  <si>
    <t>3</t>
  </si>
  <si>
    <t>GH2_TANK-005</t>
  </si>
  <si>
    <t>Z_tank</t>
  </si>
  <si>
    <t>1.236</t>
  </si>
  <si>
    <t>GH2_TANK-006</t>
  </si>
  <si>
    <t>P_tank</t>
  </si>
  <si>
    <t>GH2_TANK-007</t>
  </si>
  <si>
    <t>T_tank</t>
  </si>
  <si>
    <t>293</t>
  </si>
  <si>
    <t>GH2_TANK-008</t>
  </si>
  <si>
    <t>energy_h2_stored</t>
  </si>
  <si>
    <t>2152.590683331099</t>
  </si>
  <si>
    <t>GH2_TANK-009</t>
  </si>
  <si>
    <t>mass_hydrogen_fuel</t>
  </si>
  <si>
    <t>0.06458417891782475</t>
  </si>
  <si>
    <t>GH2_TANK-010</t>
  </si>
  <si>
    <t>mass_storage_system</t>
  </si>
  <si>
    <t>1.4678222481323808</t>
  </si>
  <si>
    <t>GH2_TANK-011</t>
  </si>
  <si>
    <t>volume_tank_L</t>
  </si>
  <si>
    <t>3.2152183468758793</t>
  </si>
  <si>
    <t>GH2_TANK-012</t>
  </si>
  <si>
    <t>GH2_TANK-013</t>
  </si>
  <si>
    <t>tank_d</t>
  </si>
  <si>
    <t>0.11091742493906058</t>
  </si>
  <si>
    <t>GH2_TANK-014</t>
  </si>
  <si>
    <t>cost_GH2_tank</t>
  </si>
  <si>
    <t>FUEL_CELL-001</t>
  </si>
  <si>
    <t>FUEL_CELL</t>
  </si>
  <si>
    <t>product_link_FC</t>
  </si>
  <si>
    <t>H3 Dynamics A800</t>
  </si>
  <si>
    <t>FUEL_CELL-002</t>
  </si>
  <si>
    <t>eta_fc</t>
  </si>
  <si>
    <t>0.5</t>
  </si>
  <si>
    <t>FUEL_CELL-003</t>
  </si>
  <si>
    <t>rho_fc</t>
  </si>
  <si>
    <t>FUEL_CELL-004</t>
  </si>
  <si>
    <t>P_fc</t>
  </si>
  <si>
    <t>329.17469274010887</t>
  </si>
  <si>
    <t>FUEL_CELL-005</t>
  </si>
  <si>
    <t>mass_fuel_cell</t>
  </si>
  <si>
    <t>0.5064226042155521</t>
  </si>
  <si>
    <t>FUEL_CELL-006</t>
  </si>
  <si>
    <t>P_fc_max</t>
  </si>
  <si>
    <t>FUEL_CELL-007</t>
  </si>
  <si>
    <t>cost_fuel_cell</t>
  </si>
  <si>
    <t>FUEL_CELL-008</t>
  </si>
  <si>
    <t>max_length_fuel_cell</t>
  </si>
  <si>
    <t>FUEL_CELL-009</t>
  </si>
  <si>
    <t>max_height_fuel_cell</t>
  </si>
  <si>
    <t>FUEL_CELL-010</t>
  </si>
  <si>
    <t>max_width_fuel_cell</t>
  </si>
  <si>
    <t>HOVER_BLDC-001</t>
  </si>
  <si>
    <t>HOVER_BLDC</t>
  </si>
  <si>
    <t>product_link_hover_bldc</t>
  </si>
  <si>
    <t>T-Motor MN8014 Antigravity</t>
  </si>
  <si>
    <t>HOVER_BLDC-002</t>
  </si>
  <si>
    <t>mass_hover_bldc_per_rotor</t>
  </si>
  <si>
    <t>0.3363870974110364</t>
  </si>
  <si>
    <t>HOVER_BLDC-003</t>
  </si>
  <si>
    <t>eta_elec_hover_bldc</t>
  </si>
  <si>
    <t>HOVER_BLDC-004</t>
  </si>
  <si>
    <t>rho_motor_hover_bldc</t>
  </si>
  <si>
    <t>HOVER_BLDC-005</t>
  </si>
  <si>
    <t>P_motor_hover_bldc</t>
  </si>
  <si>
    <t>1009.1612922331092</t>
  </si>
  <si>
    <t>HOVER_BLDC-006</t>
  </si>
  <si>
    <t>kv_hover_bldc</t>
  </si>
  <si>
    <t>HOVER_BLDC-007</t>
  </si>
  <si>
    <t>io_hover_bldc</t>
  </si>
  <si>
    <t>HOVER_BLDC-008</t>
  </si>
  <si>
    <t>rm_hover_bldc</t>
  </si>
  <si>
    <t>HOVER_BLDC-009</t>
  </si>
  <si>
    <t>cost_hover_bldc</t>
  </si>
  <si>
    <t>CRUISE_BLDC-001</t>
  </si>
  <si>
    <t>CRUISE_BLDC</t>
  </si>
  <si>
    <t>product_link_cruise_bldc</t>
  </si>
  <si>
    <t>T-Motor AX525-A</t>
  </si>
  <si>
    <t>CRUISE_BLDC-002</t>
  </si>
  <si>
    <t>mass_cruise_bldc_per_rotor</t>
  </si>
  <si>
    <t>0.15251304149346268</t>
  </si>
  <si>
    <t>CRUISE_BLDC-003</t>
  </si>
  <si>
    <t>eta_elec_cruise_bldc</t>
  </si>
  <si>
    <t>CRUISE_BLDC-004</t>
  </si>
  <si>
    <t>rho_motor_cruise_bldc</t>
  </si>
  <si>
    <t>CRUISE_BLDC-005</t>
  </si>
  <si>
    <t>P_motor_cruise_bldc</t>
  </si>
  <si>
    <t>457.539124480388</t>
  </si>
  <si>
    <t>CRUISE_BLDC-006</t>
  </si>
  <si>
    <t>kv_cruise_bldc</t>
  </si>
  <si>
    <t>CRUISE_BLDC-007</t>
  </si>
  <si>
    <t>io_cruise_bldc</t>
  </si>
  <si>
    <t>CRUISE_BLDC-008</t>
  </si>
  <si>
    <t>rm_cruise_bldc</t>
  </si>
  <si>
    <t>CRUISE_BLDC-009</t>
  </si>
  <si>
    <t>cost_cruise_bldc</t>
  </si>
  <si>
    <t>HOVER_PROPELLER-001</t>
  </si>
  <si>
    <t>HOVER_PROPELLER</t>
  </si>
  <si>
    <t>product_link_hover_propeller</t>
  </si>
  <si>
    <t>T-Motor G29x9.5</t>
  </si>
  <si>
    <t>HOVER_PROPELLER-002</t>
  </si>
  <si>
    <t>num_rotors_hover_propeller</t>
  </si>
  <si>
    <t>4</t>
  </si>
  <si>
    <t>HOVER_PROPELLER-003</t>
  </si>
  <si>
    <t>radius_hover_propeller</t>
  </si>
  <si>
    <t>0.3682990930749624</t>
  </si>
  <si>
    <t>HOVER_PROPELLER-004</t>
  </si>
  <si>
    <t>radius_hover_propeller_bounds</t>
  </si>
  <si>
    <t>[0.0508, 0.3683]</t>
  </si>
  <si>
    <t>HOVER_PROPELLER-005</t>
  </si>
  <si>
    <t>eta_prop_hover_propeller</t>
  </si>
  <si>
    <t>HOVER_PROPELLER-006</t>
  </si>
  <si>
    <t>mass_hover_propeller</t>
  </si>
  <si>
    <t>HOVER_PROPELLER-007</t>
  </si>
  <si>
    <t>cost_hover_propeller</t>
  </si>
  <si>
    <t>CRUISE_PROPELLER-001</t>
  </si>
  <si>
    <t>CRUISE_PROPELLER</t>
  </si>
  <si>
    <t>product_link_cruise_propeller</t>
  </si>
  <si>
    <t>T-Motor AUZ18x12</t>
  </si>
  <si>
    <t>CRUISE_PROPELLER-002</t>
  </si>
  <si>
    <t>num_rotors_cruise_propeller</t>
  </si>
  <si>
    <t>CRUISE_PROPELLER-003</t>
  </si>
  <si>
    <t>radius_cruise_propeller</t>
  </si>
  <si>
    <t>0.11637467770582387</t>
  </si>
  <si>
    <t>CRUISE_PROPELLER-004</t>
  </si>
  <si>
    <t>radius_cruise_propeller_bounds</t>
  </si>
  <si>
    <t>[0.0508, 0.2413]</t>
  </si>
  <si>
    <t>CRUISE_PROPELLER-005</t>
  </si>
  <si>
    <t>eta_prop_cruise_propeller</t>
  </si>
  <si>
    <t>CRUISE_PROPELLER-006</t>
  </si>
  <si>
    <t>cruise_propeller_num_blades</t>
  </si>
  <si>
    <t>CRUISE_PROPELLER-007</t>
  </si>
  <si>
    <t>cruise_propeller_z_loc</t>
  </si>
  <si>
    <t>CRUISE_PROPELLER-008</t>
  </si>
  <si>
    <t>cruise_propeller_x_rot</t>
  </si>
  <si>
    <t>CRUISE_PROPELLER-009</t>
  </si>
  <si>
    <t>cruise_propeller_y_rot</t>
  </si>
  <si>
    <t>CRUISE_PROPELLER-010</t>
  </si>
  <si>
    <t>cruise_propeller_z_rot</t>
  </si>
  <si>
    <t>CRUISE_PROPELLER-011</t>
  </si>
  <si>
    <t>cruise_propeller_offset</t>
  </si>
  <si>
    <t>CRUISE_PROPELLER-012</t>
  </si>
  <si>
    <t>mass_cruise_propeller</t>
  </si>
  <si>
    <t>CRUISE_PROPELLER-013</t>
  </si>
  <si>
    <t>cost_cruise_propeller</t>
  </si>
  <si>
    <t>FRONT_RIGHT_PROPELLER-001</t>
  </si>
  <si>
    <t>FRONT_RIGHT_PROPELLER</t>
  </si>
  <si>
    <t>fr_propeller_num_blades</t>
  </si>
  <si>
    <t>FRONT_RIGHT_PROPELLER-002</t>
  </si>
  <si>
    <t>fr_propeller_z_loc</t>
  </si>
  <si>
    <t>FRONT_RIGHT_PROPELLER-003</t>
  </si>
  <si>
    <t>fr_propeller_x_rot</t>
  </si>
  <si>
    <t>45</t>
  </si>
  <si>
    <t>FRONT_RIGHT_PROPELLER-004</t>
  </si>
  <si>
    <t>fr_propeller_y_rot</t>
  </si>
  <si>
    <t>FRONT_RIGHT_PROPELLER-005</t>
  </si>
  <si>
    <t>fr_propeller_z_rot</t>
  </si>
  <si>
    <t>90</t>
  </si>
  <si>
    <t>FRONT_RIGHT_PROPELLER-006</t>
  </si>
  <si>
    <t>fr_propeller_x_loc</t>
  </si>
  <si>
    <t>FRONT_RIGHT_PROPELLER-007</t>
  </si>
  <si>
    <t>fr_propeller_y_loc</t>
  </si>
  <si>
    <t>FRONT_LEFT_PROPELLER-001</t>
  </si>
  <si>
    <t>FRONT_LEFT_PROPELLER</t>
  </si>
  <si>
    <t>fl_propeller_num_blades</t>
  </si>
  <si>
    <t>FRONT_LEFT_PROPELLER-002</t>
  </si>
  <si>
    <t>fl_propeller_z_loc</t>
  </si>
  <si>
    <t>FRONT_LEFT_PROPELLER-003</t>
  </si>
  <si>
    <t>fl_propeller_x_rot</t>
  </si>
  <si>
    <t>FRONT_LEFT_PROPELLER-004</t>
  </si>
  <si>
    <t>fl_propeller_y_rot</t>
  </si>
  <si>
    <t>FRONT_LEFT_PROPELLER-005</t>
  </si>
  <si>
    <t>fl_propeller_z_rot</t>
  </si>
  <si>
    <t>FRONT_LEFT_PROPELLER-006</t>
  </si>
  <si>
    <t>fl_propeller_x_loc</t>
  </si>
  <si>
    <t>FRONT_LEFT_PROPELLER-007</t>
  </si>
  <si>
    <t>fl_propeller_y_loc</t>
  </si>
  <si>
    <t>BACK_RIGHT_PROPELLER-001</t>
  </si>
  <si>
    <t>BACK_RIGHT_PROPELLER</t>
  </si>
  <si>
    <t>br_propeller_num_blades</t>
  </si>
  <si>
    <t>BACK_RIGHT_PROPELLER-002</t>
  </si>
  <si>
    <t>br_propeller_z_loc</t>
  </si>
  <si>
    <t>BACK_RIGHT_PROPELLER-003</t>
  </si>
  <si>
    <t>br_propeller_x_rot</t>
  </si>
  <si>
    <t>BACK_RIGHT_PROPELLER-004</t>
  </si>
  <si>
    <t>br_propeller_y_rot</t>
  </si>
  <si>
    <t>BACK_RIGHT_PROPELLER-005</t>
  </si>
  <si>
    <t>br_propeller_z_rot</t>
  </si>
  <si>
    <t>BACK_RIGHT_PROPELLER-006</t>
  </si>
  <si>
    <t>br_propeller_x_loc</t>
  </si>
  <si>
    <t>BACK_RIGHT_PROPELLER-007</t>
  </si>
  <si>
    <t>br_propeller_y_loc</t>
  </si>
  <si>
    <t>BACK_LEFT_PROPELLER-001</t>
  </si>
  <si>
    <t>BACK_LEFT_PROPELLER</t>
  </si>
  <si>
    <t>bl_propeller_num_blades</t>
  </si>
  <si>
    <t>BACK_LEFT_PROPELLER-002</t>
  </si>
  <si>
    <t>bl_propeller_z_loc</t>
  </si>
  <si>
    <t>BACK_LEFT_PROPELLER-003</t>
  </si>
  <si>
    <t>bl_propeller_x_rot</t>
  </si>
  <si>
    <t>BACK_LEFT_PROPELLER-004</t>
  </si>
  <si>
    <t>bl_propeller_y_rot</t>
  </si>
  <si>
    <t>BACK_LEFT_PROPELLER-005</t>
  </si>
  <si>
    <t>bl_propeller_z_rot</t>
  </si>
  <si>
    <t>BACK_LEFT_PROPELLER-006</t>
  </si>
  <si>
    <t>bl_propeller_x_loc</t>
  </si>
  <si>
    <t>BACK_LEFT_PROPELLER-007</t>
  </si>
  <si>
    <t>bl_propeller_y_loc</t>
  </si>
  <si>
    <t>EOIR_GIMBAL-001</t>
  </si>
  <si>
    <t>EOIR_GIMBAL</t>
  </si>
  <si>
    <t>mass_eoir_gimbal</t>
  </si>
  <si>
    <t>EOIR_GIMBAL-002</t>
  </si>
  <si>
    <t>product_link_eoir_gimbal</t>
  </si>
  <si>
    <t>SIYI ZT6</t>
  </si>
  <si>
    <t>EOIR_GIMBAL-003</t>
  </si>
  <si>
    <t>cost_eoir_gimbal</t>
  </si>
  <si>
    <t>LIDAR-001</t>
  </si>
  <si>
    <t>LIDAR</t>
  </si>
  <si>
    <t>mass_lidar</t>
  </si>
  <si>
    <t>LIDAR-002</t>
  </si>
  <si>
    <t>product_link_lidar</t>
  </si>
  <si>
    <t>RESEPI LITE XT32M2X</t>
  </si>
  <si>
    <t>LIDAR-003</t>
  </si>
  <si>
    <t>cost_lidar</t>
  </si>
  <si>
    <t>FLIGHT_CONTROLLER-001</t>
  </si>
  <si>
    <t>FLIGHT_CONTROLLER</t>
  </si>
  <si>
    <t>product_link_flight_controller</t>
  </si>
  <si>
    <t>Pixhawk Cube Orange+ Standard Set</t>
  </si>
  <si>
    <t>FLIGHT_CONTROLLER-002</t>
  </si>
  <si>
    <t>mass_flight_controller</t>
  </si>
  <si>
    <t>FLIGHT_CONTROLLER-003</t>
  </si>
  <si>
    <t>cost_flight_controller</t>
  </si>
  <si>
    <t>FLIGHT_COMPUTER-001</t>
  </si>
  <si>
    <t>FLIGHT_COMPUTER</t>
  </si>
  <si>
    <t>mass_flight_computer</t>
  </si>
  <si>
    <t>0.08</t>
  </si>
  <si>
    <t>FLIGHT_COMPUTER-002</t>
  </si>
  <si>
    <t>product_link_flight_computer</t>
  </si>
  <si>
    <t>Raspberry Pi5</t>
  </si>
  <si>
    <t>FLIGHT_COMPUTER-003</t>
  </si>
  <si>
    <t>cost_flight_computer</t>
  </si>
  <si>
    <t>SSD-001</t>
  </si>
  <si>
    <t>SSD</t>
  </si>
  <si>
    <t>mass_ssd</t>
  </si>
  <si>
    <t>SSD-002</t>
  </si>
  <si>
    <t>mass_ssd_adapter</t>
  </si>
  <si>
    <t>SSD-003</t>
  </si>
  <si>
    <t>product_link_ssd</t>
  </si>
  <si>
    <t>Raspberry Pi SSD 512GB</t>
  </si>
  <si>
    <t>SSD-004</t>
  </si>
  <si>
    <t>product_link_ssd_adapter</t>
  </si>
  <si>
    <t>Raspberry Pi SSD Kit 512GB</t>
  </si>
  <si>
    <t>SSD-005</t>
  </si>
  <si>
    <t>cost_ssd</t>
  </si>
  <si>
    <t>SSD-006</t>
  </si>
  <si>
    <t>cost_ssd_adapter</t>
  </si>
  <si>
    <t>LTE-001</t>
  </si>
  <si>
    <t>LTE</t>
  </si>
  <si>
    <t>mass_lte</t>
  </si>
  <si>
    <t>LTE-002</t>
  </si>
  <si>
    <t>product_link_lte</t>
  </si>
  <si>
    <t>Sixfab 5G Modem Kit for Raspberry Pi 5</t>
  </si>
  <si>
    <t>LTE-003</t>
  </si>
  <si>
    <t>cost_lte</t>
  </si>
  <si>
    <t>HOVER_ESC-001</t>
  </si>
  <si>
    <t>HOVER_ESC</t>
  </si>
  <si>
    <t>mass_hover_ESC</t>
  </si>
  <si>
    <t>HOVER_ESC-002</t>
  </si>
  <si>
    <t>product_link_hover_ESC</t>
  </si>
  <si>
    <t>Flame 60A</t>
  </si>
  <si>
    <t>HOVER_ESC-003</t>
  </si>
  <si>
    <t>cost_hover_ESC</t>
  </si>
  <si>
    <t>HOVER_ESC-004</t>
  </si>
  <si>
    <t>num_hover_ESC</t>
  </si>
  <si>
    <t>HOVER_ESC-005</t>
  </si>
  <si>
    <t>r_on_hover_ESC</t>
  </si>
  <si>
    <t>HOVER_ESC-006</t>
  </si>
  <si>
    <t>rise_time_hover_ESC</t>
  </si>
  <si>
    <t>HOVER_ESC-007</t>
  </si>
  <si>
    <t>fall_time_hover_ESC</t>
  </si>
  <si>
    <t>HOVER_ESC-008</t>
  </si>
  <si>
    <t>f_sw_hover_ESC</t>
  </si>
  <si>
    <t>HOVER_ESC-009</t>
  </si>
  <si>
    <t>P_ic_hover_ESC</t>
  </si>
  <si>
    <t>HOVER_ESC-010</t>
  </si>
  <si>
    <t>num_switches_effective_hover_ESC</t>
  </si>
  <si>
    <t>CRUISE_ESC-001</t>
  </si>
  <si>
    <t>CRUISE_ESC</t>
  </si>
  <si>
    <t>mass_cruise_ESC</t>
  </si>
  <si>
    <t>CRUISE_ESC-002</t>
  </si>
  <si>
    <t>product_link_cruise_ESC</t>
  </si>
  <si>
    <t>T-Motor AT115A</t>
  </si>
  <si>
    <t>CRUISE_ESC-003</t>
  </si>
  <si>
    <t>cost_cruise_ESC</t>
  </si>
  <si>
    <t>CRUISE_ESC-004</t>
  </si>
  <si>
    <t>r_on_cruise_ESC</t>
  </si>
  <si>
    <t>CRUISE_ESC-005</t>
  </si>
  <si>
    <t>rise_time_cruise_ESC</t>
  </si>
  <si>
    <t>CRUISE_ESC-006</t>
  </si>
  <si>
    <t>fall_time_cruise_ESC</t>
  </si>
  <si>
    <t>CRUISE_ESC-007</t>
  </si>
  <si>
    <t>f_sw_cruise_ESC</t>
  </si>
  <si>
    <t>CRUISE_ESC-008</t>
  </si>
  <si>
    <t>P_ic_cruise_ESC</t>
  </si>
  <si>
    <t>CRUISE_ESC-009</t>
  </si>
  <si>
    <t>num_switches_effective_cruise_ESC</t>
  </si>
  <si>
    <t>HYBRID_BATTERY-001</t>
  </si>
  <si>
    <t>HYBRID_BATTERY</t>
  </si>
  <si>
    <t>mass_hybrid_battery</t>
  </si>
  <si>
    <t>HYBRID_BATTERY-002</t>
  </si>
  <si>
    <t>product_link_hybrid_battery</t>
  </si>
  <si>
    <t>MAXAMPS 8S 4000 mAh</t>
  </si>
  <si>
    <t>HYBRID_BATTERY-003</t>
  </si>
  <si>
    <t>cost_hybrid_battery</t>
  </si>
  <si>
    <t>max_width_hybrid_battery</t>
  </si>
  <si>
    <t>max_length_hybrid_battery</t>
  </si>
  <si>
    <t>max_height_hybrid_battery</t>
  </si>
  <si>
    <t>PRESSURE_REGULATOR-001</t>
  </si>
  <si>
    <t>PRESSURE_REGULATOR</t>
  </si>
  <si>
    <t>mass_pressure_regulator</t>
  </si>
  <si>
    <t>PRESSURE_REGULATOR-002</t>
  </si>
  <si>
    <t>product_link_pressure_regulator</t>
  </si>
  <si>
    <t>H3 Dynamics Pressure Regulator</t>
  </si>
  <si>
    <t>PRESSURE_REGULATOR-003</t>
  </si>
  <si>
    <t>cost_pressure_regulator</t>
  </si>
  <si>
    <t>PDB-001</t>
  </si>
  <si>
    <t>PDB</t>
  </si>
  <si>
    <t>mass_PDB</t>
  </si>
  <si>
    <t>PDB-002</t>
  </si>
  <si>
    <t>product_link_PDB</t>
  </si>
  <si>
    <t>SmartAP PDB</t>
  </si>
  <si>
    <t>PDB-003</t>
  </si>
  <si>
    <t>cost_PDB</t>
  </si>
  <si>
    <t>PM02_POWER_MODULE-001</t>
  </si>
  <si>
    <t>PM02_POWER_MODULE</t>
  </si>
  <si>
    <t>mass_PM02_power_module</t>
  </si>
  <si>
    <t>PM02_POWER_MODULE-002</t>
  </si>
  <si>
    <t>product_link_PM02_power_module</t>
  </si>
  <si>
    <t>PM02 Power Module</t>
  </si>
  <si>
    <t>PM02_POWER_MODULE-003</t>
  </si>
  <si>
    <t>cost_PM02_power_module</t>
  </si>
  <si>
    <t>RC_RECEIVER-001</t>
  </si>
  <si>
    <t>RC_RECEIVER</t>
  </si>
  <si>
    <t>mass_RC_receiver</t>
  </si>
  <si>
    <t>RC_RECEIVER-002</t>
  </si>
  <si>
    <t>product_link_RC_receiver</t>
  </si>
  <si>
    <t>RadioMaster RP1 V2 ELRS</t>
  </si>
  <si>
    <t>RC_RECEIVER-003</t>
  </si>
  <si>
    <t>cost_RC_receiver</t>
  </si>
  <si>
    <t>AIRSPEED_SENSOR-001</t>
  </si>
  <si>
    <t>AIRSPEED_SENSOR</t>
  </si>
  <si>
    <t>mass_airspeed_sensor</t>
  </si>
  <si>
    <t>AIRSPEED_SENSOR-002</t>
  </si>
  <si>
    <t>product_link_airspeed_sensor</t>
  </si>
  <si>
    <t>PX4 Differential Airpseed Sensor Kit</t>
  </si>
  <si>
    <t>AIRSPEED_SENSOR-003</t>
  </si>
  <si>
    <t>cost_airspeed_sensor</t>
  </si>
  <si>
    <t>TELEMETRY_MODULE-001</t>
  </si>
  <si>
    <t>TELEMETRY_MODULE</t>
  </si>
  <si>
    <t>mass_telemetry_module</t>
  </si>
  <si>
    <t>TELEMETRY_MODULE-002</t>
  </si>
  <si>
    <t>product_link_telemetry_module</t>
  </si>
  <si>
    <t>Pixhawk Rf Design RFD900x</t>
  </si>
  <si>
    <t>TELEMETRY_MODULE-003</t>
  </si>
  <si>
    <t>cost_telemetry_module</t>
  </si>
  <si>
    <t>GPS-001</t>
  </si>
  <si>
    <t>GPS</t>
  </si>
  <si>
    <t>mass_GPS</t>
  </si>
  <si>
    <t>GPS-002</t>
  </si>
  <si>
    <t>product_link_GPS</t>
  </si>
  <si>
    <t>Here3 GPS</t>
  </si>
  <si>
    <t>GPS-003</t>
  </si>
  <si>
    <t>cost_GPS</t>
  </si>
  <si>
    <t>SERVO-001</t>
  </si>
  <si>
    <t>SERVO</t>
  </si>
  <si>
    <t>product_link_servo</t>
  </si>
  <si>
    <t>Hitec D950TW</t>
  </si>
  <si>
    <t>SERVO-002</t>
  </si>
  <si>
    <t>mass_servo</t>
  </si>
  <si>
    <t>SERVO-003</t>
  </si>
  <si>
    <t>num_servo</t>
  </si>
  <si>
    <t>SERVO-004</t>
  </si>
  <si>
    <t>mass_servos</t>
  </si>
  <si>
    <t>0.35000000000000003</t>
  </si>
  <si>
    <t>SERVO-005</t>
  </si>
  <si>
    <t>cost_servo</t>
  </si>
  <si>
    <t>AUXILLIARY-001</t>
  </si>
  <si>
    <t>AUXILLIARY</t>
  </si>
  <si>
    <t>mass_auxilliary</t>
  </si>
  <si>
    <t>AUXILLIARY-002</t>
  </si>
  <si>
    <t>cost_auxilliary</t>
  </si>
  <si>
    <t>STRUCTURES-001</t>
  </si>
  <si>
    <t>STRUCTURES</t>
  </si>
  <si>
    <t>mass_structures_factor</t>
  </si>
  <si>
    <t>0.35</t>
  </si>
  <si>
    <t>STRUCTURES-002</t>
  </si>
  <si>
    <t>cost_of_material_per_kg</t>
  </si>
  <si>
    <t>STRUCTURES-003</t>
  </si>
  <si>
    <t>mass_structures</t>
  </si>
  <si>
    <t>6.01003532522645</t>
  </si>
  <si>
    <t>CONFIGURATION-001</t>
  </si>
  <si>
    <t>CONFIGURATION</t>
  </si>
  <si>
    <t>cg_xyz</t>
  </si>
  <si>
    <t>[0.12032831150106618, 0.0, 0.0]</t>
  </si>
  <si>
    <t>CONFIGURATION-002</t>
  </si>
  <si>
    <t>wings</t>
  </si>
  <si>
    <t>[{"name": "Main_Wing", "S": 1.4295770425000156, "AR": 7.99980725948082, "taper": 0.8, "sweep_deg": 1.0, "x": 0.0, "y": 0.0, "z": 0.0, "x_rot": 0.0, "y_rot": 2.0, "z_rot": 0.0, "root_ThickChord": 0.09, "root_Camber": 0.06, "root_CamberLoc": 0.4, "tip_ThickChord": 0.09, "tip_Camber": 0.06, "tip_CamberLoc": 0.4, "ctrl_hinge": 0.25, "ctrl_start": 0.6, "ctrl_end": 0.9}, {"name": "H_Stab", "S": 0.1273478074570488, "AR": 8.0, "taper": 1.0, "sweep_deg": 0.0, "x": 1.2152794171347006, "y": 0, "z": 0.5462206507425595, "x_rot": 0.0, "y_rot": 0.0, "z_rot": 0.0, "root_ThickChord": 0.09, "root_Camber": 0.06, "root_CamberLoc": 0.4, "tip_ThickChord": 0.09, "tip_Camber": 0.06, "tip_CamberLoc": 0.4, "ctrl_hinge": 0.3, "ctrl_start": 0.0, "ctrl_end": 0.7}, {"name": "V_Stab", "S": 0.11934279971905008, "AR": 5.0, "taper": 1.0, "sweep_deg": 0.0, "x": 1.2152794171347006, "y": 0.5046737707807862, "z": 0.0, "x_rot": 90.0, "y_rot": 0.0, "z_rot": 0.0, "root_ThickChord": 0.12, "root_Camber": 0.0, "root_CamberLoc": 0.0, "tip_ThickChord": 0.12, "tip_Camber": 0.0, "tip_CamberLoc": 0.0, "ctrl_hinge": 0.3, "ctrl_start": 0.1, "ctrl_end": 0.9}]</t>
  </si>
  <si>
    <t>CONFIGURATION-003</t>
  </si>
  <si>
    <t>fuselages</t>
  </si>
  <si>
    <t>[{"name": "main_fuselage", "length": 0.7653302320795179, "fuselage_XLoc": -0.5093646711739352, "fuselage_YLoc": 0.0, "fuselage_ZLoc": -0.09982568244515452, "XSec_0_XLoc": 0.0, "XSec_1_XLoc": 0.13636363636363635, "XSec_2_XLoc": 0.8636363636363636, "XSec_3_XLoc": 1.0, "XSec_0_ZLoc": 0.0, "XSec_1_ZLoc": 0.0, "XSec_2_ZLoc": 0.0, "XSec_3_ZLoc": 0.0, "XSec_0_w": 0.1397559554232163, "XSec_1_w": 0.19965136489030905, "XSec_2_w": 0.19965136489030905, "XSec_3_w": 0.07986054595612363, "XSec_0_h": 0.1397559554232163, "XSec_1_h": 0.19965136489030905, "XSec_2_h": 0.19965136489030905, "XSec_3_h": 0.07986054595612363}, {"name": "right_motor_boom", "length": 2.04009137848933, "fuselage_XLoc": -0.6063237010576058, "fuselage_YLoc": 0.5046737707807862, "fuselage_ZLoc": 0.0, "XSec_0_XLoc": 0.0, "XSec_1_XLoc": 0.5, "XSec_2_XLoc": 1.0, "XSec_0_ZLoc": 0.0, "XSec_1_ZLoc": 0.0, "XSec_2_ZLoc": 0.0, "XSec_0_w": 0.019965136489030907, "XSec_1_w": 0.019965136489030907, "XSec_2_w": 0.019965136489030907, "XSec_0_h": 0.019965136489030907, "XSec_1_h": 0.019965136489030907, "XSec_2_h": 0.019965136489030907, "RightLAngle": 0.0, "TopLAngle": 0.0, "RightLStrength": 1.0, "TopLStrength": 1.0}, {"name": "left_motor_boom", "length": 2.04009137848933, "fuselage_XLoc": -0.6063237010576058, "fuselage_YLoc": -0.5046737707807862, "fuselage_ZLoc": 0.0, "XSec_0_XLoc": 0.0, "XSec_1_XLoc": 0.5, "XSec_2_XLoc": 1.0, "XSec_0_ZLoc": 0.0, "XSec_1_ZLoc": 0.0, "XSec_2_ZLoc": 0.0, "XSec_0_w": 0.019965136489030907, "XSec_1_w": 0.019965136489030907, "XSec_2_w": 0.019965136489030907, "XSec_0_h": 0.019965136489030907, "XSec_1_h": 0.019965136489030907, "XSec_2_h": 0.019965136489030907, "RightLAngle": 0.0, "TopLAngle": 0.0, "RightLStrength": 1.0, "TopLStrength": 1.0}]</t>
  </si>
  <si>
    <t>CONFIGURATION-004</t>
  </si>
  <si>
    <t>props</t>
  </si>
  <si>
    <t>[{"name": "hover_FR_prop", "diameter": 0.7365981861499248, "num_blades": 2.0, "x": -0.5863237010576058, "y": 0.5046737707807862, "z": 0.04, "x_rot": 45.0, "y_rot": 0.0, "z_rot": 90.0}, {"name": "hover_FL_prop", "diameter": 0.7365981861499248, "num_blades": 2.0, "x": -0.5863237010576058, "y": -0.5046737707807862, "z": 0.04, "x_rot": 45.0, "y_rot": 0.0, "z_rot": 90.0}, {"name": "hover_BR_prop", "diameter": 0.7365981861499248, "num_blades": 2.0, "x": 0.8269803240597382, "y": 0.5046737707807862, "z": 0.04, "x_rot": 45.0, "y_rot": 0.0, "z_rot": 90.0}, {"name": "hover_BL_prop", "diameter": 0.7365981861499248, "num_blades": 2.0, "x": 0.8269803240597382, "y": -0.5046737707807862, "z": 0.04, "x_rot": 45.0, "y_rot": 0.0, "z_rot": 90.0}, {"name": "cruise_prop", "diameter": 0.23274935541164773, "num_blades": 2.0, "x": 0.2959655609055826, "y": 0, "z": -0.09982568244515452, "x_rot": 0.0, "y_rot": 0.0, "z_rot": 0.0}]</t>
  </si>
  <si>
    <t>OPENVSP-001</t>
  </si>
  <si>
    <t>OPENVSP</t>
  </si>
  <si>
    <t>vsp3_path</t>
  </si>
  <si>
    <t>vsp_runs\run_001\autotwin_aircraft.vsp3</t>
  </si>
  <si>
    <t>OPENVSP-002</t>
  </si>
  <si>
    <t>geom_ids</t>
  </si>
  <si>
    <t>{"fuselage": ["SCQESOLLDH", "NBUQHFPVNP", "ERYWCLNBIJ"], "wing": ["EKRFAXNUGO", "IDNGFTKFLH", "NKYCJJJQPO"], "prop": ["UUBTAMGJGU", "TLPTYHWIEQ", "LRMFYBAVUE", "YNXFQEWAZL", "VCHUVUQZOM"]}</t>
  </si>
  <si>
    <t>OPENVSP-003</t>
  </si>
  <si>
    <t>reference</t>
  </si>
  <si>
    <t>{"Sref": 1.6762676496761144, "Bref": 3.381765929596362, "Cref": 0.49567820025799036, "cg": [0.12032831150106618, 0.0, 0.0]}</t>
  </si>
  <si>
    <t>OPENVSP-004</t>
  </si>
  <si>
    <t>analysis</t>
  </si>
  <si>
    <t>{"results_id": "OVOGQQA"}</t>
  </si>
  <si>
    <t>OPENVSP-005</t>
  </si>
  <si>
    <t>sweep_outputs</t>
  </si>
  <si>
    <t>{"Alpha": [0.0], "CL": [0.598469228374], "CD": [0.02727487454], "Cm": [-0.158036869986]}</t>
  </si>
  <si>
    <t>OPENVSP-006</t>
  </si>
  <si>
    <t>notes</t>
  </si>
  <si>
    <t>["INFO: VSPAERO sweep uses wing geometry only; fuselages/props are hidden from the analysis set."]</t>
  </si>
  <si>
    <t>OPENVSP-007</t>
  </si>
  <si>
    <t>debug</t>
  </si>
  <si>
    <t>{"fuselage_xsec_parms": []}</t>
  </si>
  <si>
    <t>OPENVSP-008</t>
  </si>
  <si>
    <t>alpha_list_deg</t>
  </si>
  <si>
    <t>[0]</t>
  </si>
  <si>
    <t>OPTIMIZATION-001</t>
  </si>
  <si>
    <t>OPTIMIZATION</t>
  </si>
  <si>
    <t>pop_size</t>
  </si>
  <si>
    <t>200</t>
  </si>
  <si>
    <t>OPTIMIZATION-002</t>
  </si>
  <si>
    <t>n_gen</t>
  </si>
  <si>
    <t>OPTIMIZATION-003</t>
  </si>
  <si>
    <t>seed</t>
  </si>
  <si>
    <t>OPTIMIZATION-004</t>
  </si>
  <si>
    <t>verbose</t>
  </si>
  <si>
    <t>True</t>
  </si>
  <si>
    <t>OPTIMIZATION-005</t>
  </si>
  <si>
    <t>plot_pareto</t>
  </si>
  <si>
    <t>OPTIMIZATION-006</t>
  </si>
  <si>
    <t>pareto_plot_block</t>
  </si>
  <si>
    <t>OPTIMIZATION-007</t>
  </si>
  <si>
    <t>status</t>
  </si>
  <si>
    <t>ok</t>
  </si>
  <si>
    <t>OPTIMIZATION-008</t>
  </si>
  <si>
    <t>best_idx</t>
  </si>
  <si>
    <t>65</t>
  </si>
  <si>
    <t>OPTIMIZATION-009</t>
  </si>
  <si>
    <t>best_objectives</t>
  </si>
  <si>
    <t>{"energy_stored_onboard_Wh": 2487.011560444254, "t_trip_h": 3.2816278599157718}</t>
  </si>
  <si>
    <t>OPTIMIZATION-010</t>
  </si>
  <si>
    <t>max_constraint_violation</t>
  </si>
  <si>
    <t>0.0</t>
  </si>
  <si>
    <t>OPTIMIZATION-011</t>
  </si>
  <si>
    <t>pareto_set_size</t>
  </si>
  <si>
    <t>103</t>
  </si>
  <si>
    <t>OPTIMIZATION-012</t>
  </si>
  <si>
    <t>pareto_X</t>
  </si>
  <si>
    <t>[[1.72559512e+01 1.43437517e+00 1.79999938e+01 ... 7.96807428e-01
  3.57072922e-04 9.95675014e-01]
 [1.76988353e+01 1.47104729e+00 1.79999608e+01 ... 7.96595159e-01
  2.59792000e-04 9.94859374e-01]
 [1.72559512e+01 1.43437517e+00 1.79999941e+01 ... 7.96807428e-01
  3.57072922e-04 9.95675014e-01]
 ...
 [1.69498570e+01 1.40892667e+00 1.79998341e+01 ... 8.03710205e-01
  8.97023243e-04 2.87506503e-01]
 [1.70767063e+01 1.42612390e+00 1.79999883e+01 ... 7.96870344e-01
  2.94725452e-04 3.61331713e-01]
 [1.74278303e+01 1.45160809e+00 1.79999931e+01 ... 7.93189606e-01
  9.00548069e-04 7.41037059e-01]]</t>
  </si>
  <si>
    <t>OPTIMIZATION-013</t>
  </si>
  <si>
    <t>pareto_F</t>
  </si>
  <si>
    <t>[[2497.46861859    3.28106949]
 [2569.03607148    3.2778791 ]
 [2497.61951763    3.28103884]
 [2493.78111675    3.28147905]
 [2560.63424018    3.27814121]
 [2497.46872585    3.2810692 ]
 [2553.09750268    3.27862716]
 [2498.61853399    3.2808012 ]
 [2453.91845775    3.28537901]
 [2513.8178297     3.28057715]
 [2547.99473206    3.27888075]
 [2478.0735409     3.28248236]
 [2493.61545167    3.28147965]
 [2525.05393021    3.27945388]
 [2460.96790325    3.28376275]
 [2498.80167142    3.28080062]
 [2462.07687878    3.28367491]
 [2460.4137098     3.28377596]
 [2451.80133756    3.28653414]
 [2455.48931151    3.2845515 ]
 [2495.12815958    3.28113996]
 [2461.98862918    3.283675  ]
 [2452.94755475    3.28562518]
 [2549.29117567    3.27884221]
 [2524.91409641    3.27956779]
 [2499.62735241    3.28080018]
 [2511.2063411     3.28057897]
 [2525.32031269    3.2793657 ]
 [2573.08874154    3.27777941]
 [2452.4233926     3.28570052]
 [2550.26013047    3.27883309]
 [2494.5568076     3.28118505]
 [2494.93754188    3.28117391]
 [2465.09409326    3.2836026 ]
 [2493.79819435    3.2813915 ]
 [2551.00364614    3.27869849]
 [2569.13865234    3.2778001 ]
 [2500.53415589    3.28072697]
 [2463.18344705    3.28366675]
 [2476.54515636    3.28305535]
 [2449.85192768    3.29004873]
 [2575.32040284    3.27767727]
 [2548.77682545    3.27886302]
 [2495.15373896    3.28107206]
 [2464.2831248     3.28361885]
 [2515.11600252    3.28022722]
 [2514.04655995    3.28056949]
 [2526.69924923    3.27935039]
 [2525.51381691    3.2793657 ]
 [2525.71387895    3.27935076]
 [2553.461759      3.2785572 ]
 [2551.73735444    3.27869807]
 [2510.37191799    3.28057898]
 [2457.00755037    3.28433288]
 [2575.77171317    3.27763454]
 [2559.4798489     3.27817381]
 [2505.08722863    3.28058478]
 [2562.65403409    3.27797668]
 [2463.83848671    3.28363852]
 [2464.76982472    3.2836044 ]
 [2562.27541552    3.27807328]
 [2477.80853586    3.28254103]
 [2493.99621212    3.28139149]
 [2550.71452988    3.27880273]
 [2492.95977659    3.28150108]
 [2487.01156044    3.28162786]
 [2515.11884919    3.28022002]
 [2453.16584348    3.28553776]
 [2453.98983314    3.28519408]
 [2466.34031153    3.28353394]
 [2575.6452661     3.27763952]
 [2452.79096064    3.28569829]
 [2458.17485126    3.28388761]
 [2449.70303184    3.29005945]
 [2549.96005334    3.27884162]
 [2568.27498849    3.2779095 ]
 [2473.90201777    3.2830987 ]
 [2514.08457242    3.2802318 ]
 [2487.25136138    3.28162765]
 [2516.03624269    3.27964358]
 [2498.16946823    3.28087585]
 [2515.88599229    3.27964359]
 [2575.11423105    3.27769263]
 [2515.87471176    3.27964359]
 [2489.13745158    3.28162206]
 [2452.59160638    3.28569871]
 [2506.75605829    3.28057986]
 [2553.89897379    3.27844603]
 [2546.47267135    3.27901889]
 [2450.33391702    3.2865447 ]
 [2457.57234589    3.28420328]
 [2561.639127      3.2781018 ]
 [2460.73202814    3.28376281]
 [2516.33406954    3.27963915]
 [2477.19099128    3.28265824]
 [2554.48246811    3.27843996]
 [2478.00768337    3.28252599]
 [2453.81837881    3.28552806]
 [2513.80153284    3.28057847]
 [2455.67912734    3.28444975]
 [2449.85286325    3.29002976]
 [2474.66872016    3.28305745]
 [2528.06046381    3.27926304]]</t>
  </si>
  <si>
    <t>OPTIMIZATION-014</t>
  </si>
  <si>
    <t>pareto_plot_path</t>
  </si>
  <si>
    <t>VSPAERO - Aerodynamic Analysis</t>
  </si>
  <si>
    <t>VSPAERO - Stability Analysis</t>
  </si>
  <si>
    <t>Flow Conditions</t>
  </si>
  <si>
    <t>Alpha</t>
  </si>
  <si>
    <t>[-5, 12]</t>
  </si>
  <si>
    <t>Beta</t>
  </si>
  <si>
    <t>Mach</t>
  </si>
  <si>
    <t>ReCref</t>
  </si>
  <si>
    <t>Vinf</t>
  </si>
  <si>
    <t>Results</t>
  </si>
  <si>
    <t>Rho</t>
  </si>
  <si>
    <t>CL</t>
  </si>
  <si>
    <t>CD</t>
  </si>
  <si>
    <t>Cm</t>
  </si>
  <si>
    <t>VSP naming</t>
  </si>
  <si>
    <t>CL0</t>
  </si>
  <si>
    <t>CL_de</t>
  </si>
  <si>
    <t>CL_da</t>
  </si>
  <si>
    <t>CL_dr</t>
  </si>
  <si>
    <t>CD_de</t>
  </si>
  <si>
    <t>CD_da</t>
  </si>
  <si>
    <t>CD_dr</t>
  </si>
  <si>
    <t>CY0</t>
  </si>
  <si>
    <t>CY_de</t>
  </si>
  <si>
    <t>CY_da</t>
  </si>
  <si>
    <t>CY_dr</t>
  </si>
  <si>
    <t>Cl0</t>
  </si>
  <si>
    <t>CMl_de</t>
  </si>
  <si>
    <t>CMl_da</t>
  </si>
  <si>
    <t>CMl_dr</t>
  </si>
  <si>
    <t>Cm0</t>
  </si>
  <si>
    <t>CMm_de</t>
  </si>
  <si>
    <t>CMm_da</t>
  </si>
  <si>
    <t>CMm_dr</t>
  </si>
  <si>
    <t>Cn0</t>
  </si>
  <si>
    <t>CMn_de</t>
  </si>
  <si>
    <t>CMn_da</t>
  </si>
  <si>
    <t>CMn_dr</t>
  </si>
  <si>
    <t>CL_alpha</t>
  </si>
  <si>
    <t>CL_beta</t>
  </si>
  <si>
    <t>CL_mach</t>
  </si>
  <si>
    <t>CL_p</t>
  </si>
  <si>
    <t>CL_q</t>
  </si>
  <si>
    <t>CL_r</t>
  </si>
  <si>
    <t>CL_u</t>
  </si>
  <si>
    <t>CL_alpha_2</t>
  </si>
  <si>
    <t>CL_alpha_dot</t>
  </si>
  <si>
    <t>CD_alpha</t>
  </si>
  <si>
    <t>CD_beta</t>
  </si>
  <si>
    <t>CD_mach</t>
  </si>
  <si>
    <t>CD_p</t>
  </si>
  <si>
    <t>CD_q</t>
  </si>
  <si>
    <t>CD_r</t>
  </si>
  <si>
    <t>CD_u</t>
  </si>
  <si>
    <t>CD_alpha_2</t>
  </si>
  <si>
    <t>CD_alpha_dot</t>
  </si>
  <si>
    <t>CY_alpha</t>
  </si>
  <si>
    <t>CY_beta</t>
  </si>
  <si>
    <t>CY_mach</t>
  </si>
  <si>
    <t>CY_p</t>
  </si>
  <si>
    <t>CY_q</t>
  </si>
  <si>
    <t>CY_r</t>
  </si>
  <si>
    <t>CY_u</t>
  </si>
  <si>
    <t>CY_alpha_2</t>
  </si>
  <si>
    <t>CY_alpha_dot</t>
  </si>
  <si>
    <t>Cl_alpha</t>
  </si>
  <si>
    <t>Cl_beta</t>
  </si>
  <si>
    <t>Cl_mach</t>
  </si>
  <si>
    <t>Cl_p</t>
  </si>
  <si>
    <t>Cl_q</t>
  </si>
  <si>
    <t>Cl_r</t>
  </si>
  <si>
    <t>Cl_u</t>
  </si>
  <si>
    <t>Cl_alpha_2</t>
  </si>
  <si>
    <t>Cl_alpha_dot</t>
  </si>
  <si>
    <t>Cm_alpha</t>
  </si>
  <si>
    <t>Cm_beta</t>
  </si>
  <si>
    <t>Cm_mach</t>
  </si>
  <si>
    <t>Cm_p</t>
  </si>
  <si>
    <t>Cm_q</t>
  </si>
  <si>
    <t>Cm_r</t>
  </si>
  <si>
    <t>Cm_u</t>
  </si>
  <si>
    <t>Cm_alpha_2</t>
  </si>
  <si>
    <t>Cm_alpha_dot</t>
  </si>
  <si>
    <t>Cn_alpha</t>
  </si>
  <si>
    <t>Cn_beta</t>
  </si>
  <si>
    <t>Cn_mach</t>
  </si>
  <si>
    <t>Cn_p</t>
  </si>
  <si>
    <t>Cn_q</t>
  </si>
  <si>
    <t>Cn_r</t>
  </si>
  <si>
    <t>Cn_u</t>
  </si>
  <si>
    <t>Cn_alpha_2</t>
  </si>
  <si>
    <t>Cn_alpha_dot</t>
  </si>
  <si>
    <t>MTOM (kg)</t>
  </si>
  <si>
    <t>Unit Price (USD)</t>
  </si>
  <si>
    <t>BILL OF MATERIALS</t>
  </si>
  <si>
    <t>Parameterization for CAD Design</t>
  </si>
  <si>
    <t xml:space="preserve">Component </t>
  </si>
  <si>
    <t xml:space="preserve">Quantity </t>
  </si>
  <si>
    <t>Product Link</t>
  </si>
  <si>
    <t>Component Mass Actual (kg)</t>
  </si>
  <si>
    <t>Price (USD)</t>
  </si>
  <si>
    <t xml:space="preserve">Total Mass Actual (kg) </t>
  </si>
  <si>
    <t>Total Price (USD)</t>
  </si>
  <si>
    <t>Main Wing</t>
  </si>
  <si>
    <t>H-Stab</t>
  </si>
  <si>
    <t>V-Stab</t>
  </si>
  <si>
    <t>Fuselage</t>
  </si>
  <si>
    <t>CW Hover Propeller</t>
  </si>
  <si>
    <t xml:space="preserve">Parameter Name </t>
  </si>
  <si>
    <t>Value (mm)</t>
  </si>
  <si>
    <t>CCW Hover Propeller</t>
  </si>
  <si>
    <t>Fuselage Nose X Distance from the Origin@Fuselage_Guidelines</t>
  </si>
  <si>
    <t>Hover BLDC</t>
  </si>
  <si>
    <t>Fuselage XSec2 X Distance from the Nose@Fuselage_Guidelines</t>
  </si>
  <si>
    <t>Hover ESC</t>
  </si>
  <si>
    <t>Fuselage XSec1 X Distance from the Nose@Fuselage_Guidelines</t>
  </si>
  <si>
    <t>CCW Cruise Propeller</t>
  </si>
  <si>
    <t>Fuselage XSec3 X Distance from the Nose@Fuselage_Guidelines</t>
  </si>
  <si>
    <t xml:space="preserve">Cruise BLDC </t>
  </si>
  <si>
    <t xml:space="preserve">incidence </t>
  </si>
  <si>
    <t>CG X Distance from the Origin@Fuselage_Guidelines</t>
  </si>
  <si>
    <t>Cruise ESC</t>
  </si>
  <si>
    <t>root airfoil</t>
  </si>
  <si>
    <t>NACA6409</t>
  </si>
  <si>
    <t>y_loc_hstab</t>
  </si>
  <si>
    <t>VStab Y Distance from the Origin@Fuselage_Guidelines</t>
  </si>
  <si>
    <t xml:space="preserve">System Battery </t>
  </si>
  <si>
    <t>tip airfoil</t>
  </si>
  <si>
    <t>Inner Fuselage XSec3 Offset from the Outer Fuselage XSec3@Fuselage_Guidelines</t>
  </si>
  <si>
    <t>Hybrid Battery</t>
  </si>
  <si>
    <t>Fuselage XSec 2 Width@Fuselage_XSec2_sketch</t>
  </si>
  <si>
    <t>Fuel Cell Module w DCDC</t>
  </si>
  <si>
    <t>Fuselage XSec2 Height@Fuselage_XSec2_sketch</t>
  </si>
  <si>
    <t>GH2 Tank</t>
  </si>
  <si>
    <t>elevator_start</t>
  </si>
  <si>
    <t>Fuselage XSec2 Edge Fillet Radius@Fuselage_XSec2_sketch</t>
  </si>
  <si>
    <t>Pressure Regulator w Self-Closing Valve</t>
  </si>
  <si>
    <t>elevator_end</t>
  </si>
  <si>
    <t>rudder_start</t>
  </si>
  <si>
    <t>Fuselage XSec2 Edge Fillet Radius2@Fuselage_XSec2_sketch</t>
  </si>
  <si>
    <t>mac</t>
  </si>
  <si>
    <t>elevator_hinge</t>
  </si>
  <si>
    <t>rudder_end</t>
  </si>
  <si>
    <t>Fuselage XSec3 Z Distance from the Origin@Fuselage_XSec2_sketch</t>
  </si>
  <si>
    <t>root chord</t>
  </si>
  <si>
    <t>root_chord</t>
  </si>
  <si>
    <t>rudder_hinge</t>
  </si>
  <si>
    <t>Gimbal Mount Z Distance from the Origin@Fuselage_XSec2_sketch</t>
  </si>
  <si>
    <t>Pixhawk Cube Orange+</t>
  </si>
  <si>
    <t>tip chord</t>
  </si>
  <si>
    <t>tip_chord</t>
  </si>
  <si>
    <t>Max Fuselage Width@Fuselage_XSec1_sketch</t>
  </si>
  <si>
    <t>Rpi5</t>
  </si>
  <si>
    <t>quarter_mac_length</t>
  </si>
  <si>
    <t>chord</t>
  </si>
  <si>
    <t>Max Fuselage Height@Fuselage_XSec1_sketch</t>
  </si>
  <si>
    <t>Aileron Servos</t>
  </si>
  <si>
    <t>mac_y_coordinate</t>
  </si>
  <si>
    <t>Fuselage XSec1 Edge Fillet Radius@Fuselage_XSec1_sketch</t>
  </si>
  <si>
    <t>Ruddervator Servos</t>
  </si>
  <si>
    <t>tip_chord_x_coordinate</t>
  </si>
  <si>
    <t>Fuselage XSec3 Z Distance from Origin@Fuselage_XSec1_sketch</t>
  </si>
  <si>
    <t>RC Receiver</t>
  </si>
  <si>
    <t>quarter_mac_x_coordinate</t>
  </si>
  <si>
    <t>root_chord_x</t>
  </si>
  <si>
    <t>Gimbal Mount Z Distance from the Origin@Fuselage_XSec1_sketch</t>
  </si>
  <si>
    <t>RC Controller</t>
  </si>
  <si>
    <t>0.75_mac_length</t>
  </si>
  <si>
    <t>Fuselage XSec3 Diameter@Fuselage_XSec3_sketch</t>
  </si>
  <si>
    <t>Airspeed Sensor</t>
  </si>
  <si>
    <t>Fuselage XSec3 Z Distance from the Origin@Fuselage_XSec3_sketch</t>
  </si>
  <si>
    <t>IR Lock Sensor</t>
  </si>
  <si>
    <t>Gimbal Mount Z Distance from the Origin@Fuselage_Nose_Point</t>
  </si>
  <si>
    <t>MarkOne Beacon V3.0</t>
  </si>
  <si>
    <t>Height of gimbal camera@Forward_Fuselage_OuterLower_Guide_Curve_sketch</t>
  </si>
  <si>
    <t>I2C Splitter</t>
  </si>
  <si>
    <t>X Length of Gimbal Mount Pattern@Forward_Fuselage_OuterLower_Guide_Curve_sketch</t>
  </si>
  <si>
    <t>Telemetry Module</t>
  </si>
  <si>
    <t>Wing Root Chord Length@Wing_Root_sketch</t>
  </si>
  <si>
    <t>RTK GNSS</t>
  </si>
  <si>
    <t>Wing Root Chord Z Distance from the Origin@Wing_Root_sketch</t>
  </si>
  <si>
    <t>Auxilliary</t>
  </si>
  <si>
    <t>Wing Semispan Length@Wing_Guidelines</t>
  </si>
  <si>
    <t>Payload</t>
  </si>
  <si>
    <t>Wing Tip LE Distance from the Origin@Wing_Guidelines</t>
  </si>
  <si>
    <t>Structures</t>
  </si>
  <si>
    <t>Aileron Start Distance from the Origin@Wing_Guidelines</t>
  </si>
  <si>
    <t>Aileron End Distance from the Origin@Wing_Guidelines</t>
  </si>
  <si>
    <t>Wing Tip Chord Length@Wing_Tip_sketch</t>
  </si>
  <si>
    <t>POWER PROFILE</t>
  </si>
  <si>
    <t>Wing Tip Z Distance from the Origin@Wing_Tip_sketch</t>
  </si>
  <si>
    <t xml:space="preserve">Vertical Climb (80% Throttle) </t>
  </si>
  <si>
    <t>Hover (53% Throttle)</t>
  </si>
  <si>
    <t>Climb (65% Throttle)</t>
  </si>
  <si>
    <t>Cruise (52% Throttle)</t>
  </si>
  <si>
    <t>Wing Tip X Distance from the Origin@Wing_Tip_sketch</t>
  </si>
  <si>
    <t>Bus Power (W)</t>
  </si>
  <si>
    <t>Front Hover BLDC Shaft X Distance from CG@Rotor_Arm_Guidelines</t>
  </si>
  <si>
    <t>Bus Voltage (V)</t>
  </si>
  <si>
    <t>Back Hover BLDC Shaft X Distance from CG@Rotor_Arm_Guidelines</t>
  </si>
  <si>
    <t>Bus Current (A)</t>
  </si>
  <si>
    <t>VStab LE X Distance from the Origin@Rotor_Arm_Guidelines</t>
  </si>
  <si>
    <t>Battery Power (W)</t>
  </si>
  <si>
    <t>Hover Rotor Arm Z Distance from the Wing LE@Rotor_Arm_Guidelines</t>
  </si>
  <si>
    <t>Fuel Cell Power (W)</t>
  </si>
  <si>
    <t>Max Hover BLDC Radius2@Rotor_Arm_Guidelines</t>
  </si>
  <si>
    <t>ESC Current In (A)</t>
  </si>
  <si>
    <t>Max Hover BLDC Radius@Rotor_Arm_Guidelines</t>
  </si>
  <si>
    <t>ESC Voltage In (V)</t>
  </si>
  <si>
    <t>Max Hover BLDC Radius3@Rotor_Arm_Guidelines</t>
  </si>
  <si>
    <t>ESC Power In (W)</t>
  </si>
  <si>
    <t>Max Hover BLDC Radius4@Rotor_Arm_Guidelines</t>
  </si>
  <si>
    <t>Motor Current In (A)</t>
  </si>
  <si>
    <t>Front Hover ESC Mount End@Rotor_Arm_Guidelines</t>
  </si>
  <si>
    <t>Motor RPM (RPM)</t>
  </si>
  <si>
    <t>Back Hover ESC Mount End@Rotor_Arm_Guidelines</t>
  </si>
  <si>
    <t>Motor Shaft Power (W)</t>
  </si>
  <si>
    <t>Front Hover Rotor Arm Profile Start Offset@Rotor_Arm_Guidelines</t>
  </si>
  <si>
    <t>Motor Shaft Torque (Nm)</t>
  </si>
  <si>
    <t>Back Hover Rotor Arm Profile Start Offset@Rotor_Arm_Guidelines</t>
  </si>
  <si>
    <t>Duration (min)</t>
  </si>
  <si>
    <t>Rudder Servo Offset from VStab LE@Rotor_Arm_Guidelines</t>
  </si>
  <si>
    <t>Battery Capacity Required (Ah)</t>
  </si>
  <si>
    <t>Front Left Hover Rotor Diameter@Rotor_Arm_Guidelines</t>
  </si>
  <si>
    <t>Mass of Hydrogen Fuel Required (g)</t>
  </si>
  <si>
    <t>Back Left Hover Rotor Diameter@Rotor_Arm_Guidelines</t>
  </si>
  <si>
    <t>Total Battery Capacity Required (Ah)</t>
  </si>
  <si>
    <t>VStab Root Chord Length@VStab_Root_sketch</t>
  </si>
  <si>
    <t>Total Hydrogen Mass Required (g)</t>
  </si>
  <si>
    <t>VStab Extension Down from the Rotor Arm@VStab_Guidelines</t>
  </si>
  <si>
    <t>Total Mission Duration (min)</t>
  </si>
  <si>
    <t>VStab Extension Up from the Rotor Arm@VStab_Guidelines</t>
  </si>
  <si>
    <t>HStab Z Distance from the VStab Top Point@HStab_ZDistance_from_VStab_sketch</t>
  </si>
  <si>
    <t>HStab Tip Y Distance from the VStab Top Point@HStab_YDistance_from_VStab_sketch</t>
  </si>
  <si>
    <t>HStab Tip Chord Length@HStab_Tip_sketch</t>
  </si>
  <si>
    <t>VStab Top Chord Length@VStab_Tip_sketch</t>
  </si>
  <si>
    <t>HStab Tip Chord Length@HStab_Root_Sketch</t>
  </si>
  <si>
    <t>HStab Root Chord Z Distance from the VStab Top Point@HStab_Root_Sketch</t>
  </si>
  <si>
    <t>Inner Fuselage XSec 1 Offset from the Outer Fuselage XSec1@Inner_Fuselage_XSec1</t>
  </si>
  <si>
    <t>Inner Fuselage XSec 2 Offset from the Outer Fuselage XSec2@Inner_Fuselage_XSec2</t>
  </si>
  <si>
    <t>Inner_Fuselage_Cruise_BLDC_Mount_Circle_Diameter@Inner_Fuselage_Cruise_BLDC_Mount_Circle_sketch</t>
  </si>
  <si>
    <t>Inner Forward Fuselage Top and Bottom Gudie Curve Offset@Inner_Forward_Fuselage_Top_and_Bottom_Guide_Curves</t>
  </si>
  <si>
    <t>Inner Forward Fuselage Side Guidecurves Offset@Inner_Forward_Fuselage_Side_Guide_Curves</t>
  </si>
  <si>
    <t>Front Hover BLDC Mount Midplane Width@Front_Hover_BLDC_Mount_Midplane_sketch</t>
  </si>
  <si>
    <t>Z Distance from the Rotor Arm Spar Center to the Bottom of the Rotor Arm@Front_Hover_BLDC_Mount_Midplane_sketch</t>
  </si>
  <si>
    <t>Distance From the Center of Rotor Arm Spar to the Top of Rotor Arm@Front_Hover_BLDC_Mount_Midplane_sketch</t>
  </si>
  <si>
    <t>Front Hover BLDC Mount Front plane Width@Front_Hover_BLDC_Mount_Frontplane_sketch</t>
  </si>
  <si>
    <t>Z Distance from the Rotor Arm Spar Center to the Bottom of the Rotor Arm@Front_Hover_BLDC_Mount_Frontplane_sketch</t>
  </si>
  <si>
    <t>Z Distance from the Center of Rotor Arm Spar to the Top of Rotor Arm@Front_Hover_BLDC_Mount_Frontplane_sketch</t>
  </si>
  <si>
    <t>Front Hover BLDC Mount Backplane Width@Front_Hover_BLDC_Mount_Backplane_sketch</t>
  </si>
  <si>
    <t>Z Distance from the Rotor Arm Spar Center to the Bottom of the Rotor Arm@Front_Hover_BLDC_Mount_Backplane_sketch</t>
  </si>
  <si>
    <t>Z Distance from the Center of Rotor Arm Spar to the Top of Rotor Arm@Front_Hover_BLDC_Mount_Backplane_sketch</t>
  </si>
  <si>
    <t>Back Hover BLDC Mount Midplane Width@Back_Hover_BLDC_Mount_Midplane_sketch</t>
  </si>
  <si>
    <t>Z Distance from the Rotor Arm Spar Center to the Bottom of the Rotor Arm@Back_Hover_BLDC_Mount_Midplane_sketch</t>
  </si>
  <si>
    <t>Z Distance from the Center of Rotor Arm Spar to the Top of Rotor Arm@Back_Hover_BLDC_Mount_Midplane_sketch</t>
  </si>
  <si>
    <t>Back Hover BLDC Mount Front plane Width@Back_Hover_BLDC_Mount_Frontplane_sketch</t>
  </si>
  <si>
    <t>Z Distance from the Rotor Arm Spar Center to the Bottom of the Rotor Arm@Back_Hover_BLDC_Mount_Frontplane_sketch</t>
  </si>
  <si>
    <t>Z Distance from the Center of Rotor Arm Spar to the Top of Rotor Arm@Back_Hover_BLDC_Mount_Frontplane_sketch</t>
  </si>
  <si>
    <t>Back Hover BLDC Mount Back Plane Width@Back_Hover_BLDC_Mount_Backplane_sketch</t>
  </si>
  <si>
    <t>Z Distance from the Rotor Arm Spar Center to the Bottom of the Rotor Arm@Back_Hover_BLDC_Mount_Backplane_sketch</t>
  </si>
  <si>
    <t>Z Distance from the Center of Rotor Arm Spar to the Top of Rotor Arm@Back_Hover_BLDC_Mount_Backplane_sketch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</si>
</sst>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000"/>
    <numFmt numFmtId="165" formatCode="0.0"/>
    <numFmt numFmtId="166" formatCode="0.0000000"/>
  </numFmts>
  <fonts count="8" x14ac:knownFonts="1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u/>
      <sz val="11"/>
      <color theme="1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0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3" fillId="0" borderId="4" xfId="0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5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0" fillId="0" borderId="3" xfId="0" applyBorder="1"/>
    <xf numFmtId="0" fontId="0" fillId="0" borderId="8" xfId="0" applyBorder="1"/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/>
    </xf>
    <xf numFmtId="0" fontId="3" fillId="8" borderId="9" xfId="0" applyFont="1" applyFill="1" applyBorder="1"/>
    <xf numFmtId="0" fontId="3" fillId="8" borderId="9" xfId="0" applyFont="1" applyFill="1" applyBorder="1" applyAlignment="1">
      <alignment horizontal="center"/>
    </xf>
    <xf numFmtId="0" fontId="4" fillId="7" borderId="9" xfId="0" applyFont="1" applyFill="1" applyBorder="1" applyAlignment="1">
      <alignment wrapText="1"/>
    </xf>
    <xf numFmtId="0" fontId="4" fillId="8" borderId="9" xfId="0" applyFont="1" applyFill="1" applyBorder="1" applyAlignment="1">
      <alignment wrapText="1"/>
    </xf>
    <xf numFmtId="166" fontId="4" fillId="7" borderId="9" xfId="0" applyNumberFormat="1" applyFont="1" applyFill="1" applyBorder="1" applyAlignment="1">
      <alignment horizontal="center" wrapText="1"/>
    </xf>
    <xf numFmtId="166" fontId="4" fillId="8" borderId="9" xfId="0" applyNumberFormat="1" applyFont="1" applyFill="1" applyBorder="1" applyAlignment="1">
      <alignment horizontal="center" wrapText="1"/>
    </xf>
    <xf numFmtId="0" fontId="2" fillId="8" borderId="11" xfId="0" applyFont="1" applyFill="1" applyBorder="1"/>
    <xf numFmtId="0" fontId="3" fillId="8" borderId="12" xfId="0" applyFont="1" applyFill="1" applyBorder="1" applyAlignment="1">
      <alignment horizontal="center"/>
    </xf>
    <xf numFmtId="0" fontId="3" fillId="8" borderId="11" xfId="0" applyFont="1" applyFill="1" applyBorder="1"/>
    <xf numFmtId="0" fontId="2" fillId="8" borderId="11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166" fontId="4" fillId="7" borderId="12" xfId="0" applyNumberFormat="1" applyFont="1" applyFill="1" applyBorder="1" applyAlignment="1">
      <alignment horizontal="center" wrapText="1"/>
    </xf>
    <xf numFmtId="166" fontId="4" fillId="8" borderId="12" xfId="0" applyNumberFormat="1" applyFont="1" applyFill="1" applyBorder="1" applyAlignment="1">
      <alignment horizontal="center" wrapText="1"/>
    </xf>
    <xf numFmtId="0" fontId="3" fillId="8" borderId="13" xfId="0" applyFont="1" applyFill="1" applyBorder="1"/>
    <xf numFmtId="166" fontId="4" fillId="8" borderId="14" xfId="0" applyNumberFormat="1" applyFont="1" applyFill="1" applyBorder="1" applyAlignment="1">
      <alignment horizontal="center" wrapText="1"/>
    </xf>
    <xf numFmtId="0" fontId="3" fillId="8" borderId="14" xfId="0" applyFont="1" applyFill="1" applyBorder="1"/>
    <xf numFmtId="0" fontId="3" fillId="8" borderId="14" xfId="0" applyFont="1" applyFill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0" borderId="0" xfId="0" applyFont="1" applyAlignment="1">
      <alignment horizontal="center"/>
    </xf>
    <xf numFmtId="0" fontId="0" fillId="6" borderId="0" xfId="0" applyFill="1"/>
    <xf numFmtId="0" fontId="0" fillId="5" borderId="0" xfId="0" applyFill="1"/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3" fillId="5" borderId="0" xfId="0" applyFont="1" applyFill="1" applyAlignment="1">
      <alignment horizontal="left"/>
    </xf>
    <xf numFmtId="0" fontId="3" fillId="5" borderId="0" xfId="0" applyFont="1" applyFill="1"/>
    <xf numFmtId="0" fontId="3" fillId="4" borderId="0" xfId="0" applyFont="1" applyFill="1"/>
    <xf numFmtId="11" fontId="0" fillId="0" borderId="0" xfId="0" applyNumberFormat="1" applyAlignment="1">
      <alignment horizontal="center"/>
    </xf>
    <xf numFmtId="0" fontId="7" fillId="0" borderId="0" xfId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3" fillId="0" borderId="0" xfId="1" applyFont="1" applyAlignment="1">
      <alignment horizontal="center"/>
    </xf>
    <xf numFmtId="0" fontId="3" fillId="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2" fillId="0" borderId="6" xfId="0" applyFont="1" applyBorder="1" applyAlignment="1">
      <alignment horizontal="center"/>
    </xf>
    <xf numFmtId="0" fontId="0" fillId="0" borderId="7" xfId="0" applyBorder="1"/>
    <xf numFmtId="0" fontId="0" fillId="0" borderId="1" xfId="0" applyBorder="1"/>
    <xf numFmtId="0" fontId="2" fillId="0" borderId="2" xfId="0" applyFont="1" applyBorder="1" applyAlignment="1">
      <alignment horizontal="left"/>
    </xf>
    <xf numFmtId="0" fontId="0" fillId="0" borderId="0" xfId="0"/>
    <xf numFmtId="0" fontId="2" fillId="0" borderId="16" xfId="0" applyFont="1" applyBorder="1" applyAlignment="1">
      <alignment horizontal="left"/>
    </xf>
    <xf numFmtId="0" fontId="0" fillId="0" borderId="3" xfId="0" applyBorder="1"/>
    <xf numFmtId="0" fontId="2" fillId="8" borderId="11" xfId="0" applyFont="1" applyFill="1" applyBorder="1" applyAlignment="1">
      <alignment horizontal="center"/>
    </xf>
    <xf numFmtId="0" fontId="0" fillId="0" borderId="20" xfId="0" applyBorder="1"/>
    <xf numFmtId="0" fontId="0" fillId="0" borderId="17" xfId="0" applyBorder="1"/>
    <xf numFmtId="0" fontId="2" fillId="8" borderId="10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6" fillId="0" borderId="6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siyi.biz/products/zt6-mini-optical-pod-dual-sensors-gimbal-camera" TargetMode="External"/><Relationship Id="rId13" Type="http://schemas.openxmlformats.org/officeDocument/2006/relationships/hyperlink" Target="https://pip-assets.raspberrypi.com/categories/1085-raspberry-pi-ssd/documents/RP-008356-DS-1-raspberry-pi-ssd-kit-product-brief.pdf" TargetMode="External"/><Relationship Id="rId18" Type="http://schemas.openxmlformats.org/officeDocument/2006/relationships/hyperlink" Target="https://809c3e35-71c6-4d56-9f89-2f26c74a6c01.filesusr.com/ugd/22c4f2_f4e582c7d92447379fa4e2a12e382fd9.pdf" TargetMode="External"/><Relationship Id="rId3" Type="http://schemas.openxmlformats.org/officeDocument/2006/relationships/hyperlink" Target="https://809c3e35-71c6-4d56-9f89-2f26c74a6c01.filesusr.com/ugd/22c4f2_f4e582c7d92447379fa4e2a12e382fd9.pdf" TargetMode="External"/><Relationship Id="rId21" Type="http://schemas.openxmlformats.org/officeDocument/2006/relationships/hyperlink" Target="https://www.robocombo.com/radiomaster-rp1-v2-elrs-2.4ghz-nano-alici-4066?srsltid=AfmBOooSdNv4ZTQ3GgJoyzZCv56eI4uMqHmeoSqxEeqqTRhKsJHcZH2t" TargetMode="External"/><Relationship Id="rId7" Type="http://schemas.openxmlformats.org/officeDocument/2006/relationships/hyperlink" Target="https://store.tmotor.com/product/auz18-12-carbon-fiber-fixed-wing-uav-propeller.html" TargetMode="External"/><Relationship Id="rId12" Type="http://schemas.openxmlformats.org/officeDocument/2006/relationships/hyperlink" Target="https://pip-assets.raspberrypi.com/categories/1085-raspberry-pi-ssd/documents/RP-008357-DS-2-raspberry-pi-ssd-product-brief.pdf" TargetMode="External"/><Relationship Id="rId17" Type="http://schemas.openxmlformats.org/officeDocument/2006/relationships/hyperlink" Target="https://maxamps.com/collections/8s-lipo-battery-29-6v/products/lipo-4000-8s-29-6v-battery-pack" TargetMode="External"/><Relationship Id="rId25" Type="http://schemas.openxmlformats.org/officeDocument/2006/relationships/hyperlink" Target="https://hitecrcd.com/d950tw-wide-voltage-titanium-gear-25t-digital-coreless-servo/" TargetMode="External"/><Relationship Id="rId2" Type="http://schemas.openxmlformats.org/officeDocument/2006/relationships/hyperlink" Target="https://809c3e35-71c6-4d56-9f89-2f26c74a6c01.filesusr.com/ugd/22c4f2_f4e582c7d92447379fa4e2a12e382fd9.pdf" TargetMode="External"/><Relationship Id="rId16" Type="http://schemas.openxmlformats.org/officeDocument/2006/relationships/hyperlink" Target="https://store.tmotor.com/product/at-115a-14s-fixed-wing-esc.html" TargetMode="External"/><Relationship Id="rId20" Type="http://schemas.openxmlformats.org/officeDocument/2006/relationships/hyperlink" Target="https://holybro.com/products/pm02-v3-12s-power-module?srsltid=AfmBOorWctm2Xgax4VA_VvRQcemo6MNGebUWLBqCEIWHjCAqrf5gCLFU" TargetMode="External"/><Relationship Id="rId1" Type="http://schemas.openxmlformats.org/officeDocument/2006/relationships/hyperlink" Target="https://maxamps.com/collections/12s-lipo-battery-44-4v/products/lipo-6500-12s2p-44-4v-battery-pack" TargetMode="External"/><Relationship Id="rId6" Type="http://schemas.openxmlformats.org/officeDocument/2006/relationships/hyperlink" Target="https://store.tmotor.com/product/g29x9_5-prop-4pcs-1pair-glossy-carbon-fiber.html" TargetMode="External"/><Relationship Id="rId11" Type="http://schemas.openxmlformats.org/officeDocument/2006/relationships/hyperlink" Target="https://www.robotistan.com/raspberry-pi-5-8gb" TargetMode="External"/><Relationship Id="rId24" Type="http://schemas.openxmlformats.org/officeDocument/2006/relationships/hyperlink" Target="https://www.oyuncakhobi.com/pixhawk-here-3-can-gps-/-gnss-with-m8p?srsltid=AfmBOoo0wpw4qrSRepREMbBRX6NRd9AQj4UQBeIpNdC-QjNVGYdDbwXB" TargetMode="External"/><Relationship Id="rId5" Type="http://schemas.openxmlformats.org/officeDocument/2006/relationships/hyperlink" Target="https://store.tmotor.com/product/ax525-a-kv250-fixed-wing-motor.html" TargetMode="External"/><Relationship Id="rId15" Type="http://schemas.openxmlformats.org/officeDocument/2006/relationships/hyperlink" Target="https://store.tmotor.com/product/flame-80a-12s-v2-esc.html" TargetMode="External"/><Relationship Id="rId23" Type="http://schemas.openxmlformats.org/officeDocument/2006/relationships/hyperlink" Target="https://www.oyuncakhobi.com/pixhawk-bundle-rfd900x?srsltid=AfmBOoosyTJaFgF41MBGkRxOKt_dkFAn0DoTp0BvoS4GdmltDimVEUgb" TargetMode="External"/><Relationship Id="rId10" Type="http://schemas.openxmlformats.org/officeDocument/2006/relationships/hyperlink" Target="https://www.oyuncakhobi.com/pixhawk-the-cube-orange-imu-v8-standard-set-otopilot-sistemi-ads-b-carrier-board--distributor-garantili?srsltid=AfmBOoomCRPwd0U-UyWlodMtFPzzRhwXhIJTPLqWq4v1taLF49LvZUGm" TargetMode="External"/><Relationship Id="rId19" Type="http://schemas.openxmlformats.org/officeDocument/2006/relationships/hyperlink" Target="https://sky-drones.com/power/smartap-pdb.html" TargetMode="External"/><Relationship Id="rId4" Type="http://schemas.openxmlformats.org/officeDocument/2006/relationships/hyperlink" Target="https://store.tmotor.com/product/mn8014-motor-antigravity-type.html" TargetMode="External"/><Relationship Id="rId9" Type="http://schemas.openxmlformats.org/officeDocument/2006/relationships/hyperlink" Target="https://inertiallabs.com/wp-content/uploads/2026/07/RESEPI_LITE_XT-32M2X_Datasheet_rev-1.7_Jul_1_2026.pdf" TargetMode="External"/><Relationship Id="rId14" Type="http://schemas.openxmlformats.org/officeDocument/2006/relationships/hyperlink" Target="https://sixfab.com/product/sixfab-5g-modem-kit-for-raspberry-pi-5/?srsltid=AfmBOoo2WjhmxjXD90hv0e38MDjJ5jnuzeVkFl46WoL1XRdu8nR8MO5a" TargetMode="External"/><Relationship Id="rId22" Type="http://schemas.openxmlformats.org/officeDocument/2006/relationships/hyperlink" Target="https://www.robotistan.com/pixhawk-px4-differential-airspeed-sensor-kit-pitot-tu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0"/>
  <sheetViews>
    <sheetView tabSelected="1" topLeftCell="B271" zoomScale="70" zoomScaleNormal="70" workbookViewId="0">
      <selection activeCell="D277" sqref="D277"/>
    </sheetView>
  </sheetViews>
  <sheetFormatPr defaultRowHeight="14.4" x14ac:dyDescent="0.3"/>
  <cols>
    <col min="1" max="1" width="29.5546875" style="3" customWidth="1"/>
    <col min="2" max="2" width="26" style="4" customWidth="1"/>
    <col min="3" max="3" width="54.88671875" customWidth="1"/>
    <col min="4" max="4" width="52.21875" style="1" customWidth="1"/>
    <col min="5" max="5" width="41.109375" customWidth="1"/>
    <col min="6" max="6" width="24.44140625" style="2" customWidth="1"/>
    <col min="7" max="7" width="24" customWidth="1"/>
    <col min="8" max="8" width="3.6640625" style="1" customWidth="1"/>
    <col min="9" max="9" width="35" bestFit="1" customWidth="1"/>
    <col min="10" max="10" width="33.88671875" customWidth="1"/>
    <col min="11" max="11" width="2.88671875" style="1" customWidth="1"/>
  </cols>
  <sheetData>
    <row r="1" spans="1:11" s="8" customFormat="1" x14ac:dyDescent="0.3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7"/>
      <c r="I1" s="64" t="s">
        <v>5</v>
      </c>
      <c r="J1" s="74" t="s">
        <v>6</v>
      </c>
      <c r="K1" s="67"/>
    </row>
    <row r="2" spans="1:11" x14ac:dyDescent="0.3">
      <c r="A2" s="3" t="s">
        <v>7</v>
      </c>
      <c r="B2" s="4" t="s">
        <v>8</v>
      </c>
      <c r="E2" t="s">
        <v>9</v>
      </c>
      <c r="F2" s="10">
        <v>10</v>
      </c>
      <c r="G2" s="9" t="s">
        <v>10</v>
      </c>
      <c r="I2" s="21">
        <f>F2</f>
        <v>10</v>
      </c>
      <c r="J2" s="3" t="s">
        <v>10</v>
      </c>
      <c r="K2" s="2"/>
    </row>
    <row r="3" spans="1:11" x14ac:dyDescent="0.3">
      <c r="A3" s="3" t="s">
        <v>11</v>
      </c>
      <c r="B3" s="4" t="s">
        <v>8</v>
      </c>
      <c r="E3" t="s">
        <v>12</v>
      </c>
      <c r="F3" s="10">
        <v>1</v>
      </c>
      <c r="G3" s="9" t="s">
        <v>10</v>
      </c>
      <c r="I3" s="21">
        <f>F3</f>
        <v>1</v>
      </c>
      <c r="J3" s="3" t="s">
        <v>10</v>
      </c>
      <c r="K3" s="2"/>
    </row>
    <row r="4" spans="1:11" x14ac:dyDescent="0.3">
      <c r="A4" s="3" t="s">
        <v>13</v>
      </c>
      <c r="B4" s="4" t="s">
        <v>8</v>
      </c>
      <c r="E4" t="s">
        <v>14</v>
      </c>
      <c r="F4" s="10">
        <v>200</v>
      </c>
      <c r="G4" s="9" t="s">
        <v>10</v>
      </c>
      <c r="I4" s="11">
        <f>((I22*60)*I28)/1000</f>
        <v>0</v>
      </c>
      <c r="J4" s="80" t="s">
        <v>15</v>
      </c>
      <c r="K4" s="2"/>
    </row>
    <row r="5" spans="1:11" x14ac:dyDescent="0.3">
      <c r="A5" s="3" t="s">
        <v>16</v>
      </c>
      <c r="B5" s="4" t="s">
        <v>8</v>
      </c>
      <c r="E5" t="s">
        <v>17</v>
      </c>
      <c r="F5" s="10" t="s">
        <v>18</v>
      </c>
      <c r="G5" s="9" t="s">
        <v>10</v>
      </c>
      <c r="I5" s="21" t="str">
        <f t="shared" ref="I5:I11" si="0">F5</f>
        <v>1</v>
      </c>
      <c r="J5" s="3" t="s">
        <v>10</v>
      </c>
      <c r="K5" s="2"/>
    </row>
    <row r="6" spans="1:11" x14ac:dyDescent="0.3">
      <c r="A6" s="3" t="s">
        <v>19</v>
      </c>
      <c r="B6" s="4" t="s">
        <v>8</v>
      </c>
      <c r="E6" t="s">
        <v>20</v>
      </c>
      <c r="F6" s="10" t="s">
        <v>18</v>
      </c>
      <c r="G6" s="9" t="s">
        <v>10</v>
      </c>
      <c r="I6" s="21" t="str">
        <f t="shared" si="0"/>
        <v>1</v>
      </c>
      <c r="J6" s="3" t="s">
        <v>10</v>
      </c>
      <c r="K6" s="2"/>
    </row>
    <row r="7" spans="1:11" x14ac:dyDescent="0.3">
      <c r="A7" s="3" t="s">
        <v>21</v>
      </c>
      <c r="B7" s="4" t="s">
        <v>8</v>
      </c>
      <c r="E7" t="s">
        <v>22</v>
      </c>
      <c r="F7" s="10">
        <v>90</v>
      </c>
      <c r="G7" s="9" t="s">
        <v>10</v>
      </c>
      <c r="I7" s="21">
        <f t="shared" si="0"/>
        <v>90</v>
      </c>
      <c r="J7" s="3" t="s">
        <v>10</v>
      </c>
      <c r="K7" s="2"/>
    </row>
    <row r="8" spans="1:11" x14ac:dyDescent="0.3">
      <c r="A8" s="3" t="s">
        <v>23</v>
      </c>
      <c r="B8" s="4" t="s">
        <v>8</v>
      </c>
      <c r="E8" t="s">
        <v>24</v>
      </c>
      <c r="F8" s="10">
        <v>10</v>
      </c>
      <c r="G8" s="9" t="s">
        <v>10</v>
      </c>
      <c r="I8" s="21">
        <f t="shared" si="0"/>
        <v>10</v>
      </c>
      <c r="J8" s="3" t="s">
        <v>10</v>
      </c>
      <c r="K8" s="2"/>
    </row>
    <row r="9" spans="1:11" x14ac:dyDescent="0.3">
      <c r="A9" s="3" t="s">
        <v>25</v>
      </c>
      <c r="B9" s="4" t="s">
        <v>8</v>
      </c>
      <c r="E9" t="s">
        <v>26</v>
      </c>
      <c r="F9" s="10">
        <v>10</v>
      </c>
      <c r="G9" s="9" t="s">
        <v>10</v>
      </c>
      <c r="I9" s="21">
        <f t="shared" si="0"/>
        <v>10</v>
      </c>
      <c r="J9" s="3" t="s">
        <v>10</v>
      </c>
      <c r="K9" s="2"/>
    </row>
    <row r="10" spans="1:11" x14ac:dyDescent="0.3">
      <c r="A10" s="3" t="s">
        <v>27</v>
      </c>
      <c r="B10" s="4" t="s">
        <v>8</v>
      </c>
      <c r="E10" t="s">
        <v>28</v>
      </c>
      <c r="F10" s="10" t="s">
        <v>29</v>
      </c>
      <c r="G10" s="9" t="s">
        <v>10</v>
      </c>
      <c r="I10" s="21" t="str">
        <f t="shared" si="0"/>
        <v>10</v>
      </c>
      <c r="J10" s="3" t="s">
        <v>10</v>
      </c>
      <c r="K10" s="2"/>
    </row>
    <row r="11" spans="1:11" x14ac:dyDescent="0.3">
      <c r="A11" s="3" t="s">
        <v>30</v>
      </c>
      <c r="B11" s="4" t="s">
        <v>8</v>
      </c>
      <c r="E11" t="s">
        <v>31</v>
      </c>
      <c r="F11" s="10" t="s">
        <v>32</v>
      </c>
      <c r="G11" s="9" t="s">
        <v>10</v>
      </c>
      <c r="I11" s="21" t="str">
        <f t="shared" si="0"/>
        <v>9.81</v>
      </c>
      <c r="J11" s="3" t="s">
        <v>10</v>
      </c>
      <c r="K11" s="2"/>
    </row>
    <row r="12" spans="1:11" x14ac:dyDescent="0.3">
      <c r="A12" s="3" t="s">
        <v>33</v>
      </c>
      <c r="B12" s="4" t="s">
        <v>8</v>
      </c>
      <c r="E12" t="s">
        <v>34</v>
      </c>
      <c r="F12" s="12" t="s">
        <v>35</v>
      </c>
      <c r="G12" s="65" t="s">
        <v>36</v>
      </c>
      <c r="I12" s="21">
        <v>0.6</v>
      </c>
      <c r="J12" s="54" t="s">
        <v>37</v>
      </c>
      <c r="K12" s="68"/>
    </row>
    <row r="13" spans="1:11" x14ac:dyDescent="0.3">
      <c r="A13" s="3" t="s">
        <v>38</v>
      </c>
      <c r="B13" s="4" t="s">
        <v>8</v>
      </c>
      <c r="E13" t="s">
        <v>39</v>
      </c>
      <c r="F13" s="10" t="s">
        <v>40</v>
      </c>
      <c r="G13" s="9" t="s">
        <v>10</v>
      </c>
      <c r="I13" s="21" t="str">
        <f>F13</f>
        <v>[0.0, 1.0]</v>
      </c>
      <c r="J13" s="3" t="s">
        <v>10</v>
      </c>
      <c r="K13" s="2"/>
    </row>
    <row r="14" spans="1:11" x14ac:dyDescent="0.3">
      <c r="A14" s="3" t="s">
        <v>41</v>
      </c>
      <c r="B14" s="4" t="s">
        <v>8</v>
      </c>
      <c r="E14" t="s">
        <v>42</v>
      </c>
      <c r="F14" s="12" t="s">
        <v>43</v>
      </c>
      <c r="G14" s="65" t="s">
        <v>36</v>
      </c>
      <c r="I14" s="21">
        <v>0</v>
      </c>
      <c r="J14" s="54" t="s">
        <v>37</v>
      </c>
      <c r="K14" s="68"/>
    </row>
    <row r="15" spans="1:11" x14ac:dyDescent="0.3">
      <c r="A15" s="3" t="s">
        <v>44</v>
      </c>
      <c r="B15" s="4" t="s">
        <v>8</v>
      </c>
      <c r="E15" t="s">
        <v>45</v>
      </c>
      <c r="F15" s="10" t="s">
        <v>40</v>
      </c>
      <c r="G15" s="9" t="s">
        <v>10</v>
      </c>
      <c r="I15" s="21" t="str">
        <f>F15</f>
        <v>[0.0, 1.0]</v>
      </c>
      <c r="J15" s="3" t="s">
        <v>10</v>
      </c>
      <c r="K15" s="2"/>
    </row>
    <row r="16" spans="1:11" x14ac:dyDescent="0.3">
      <c r="A16" s="3" t="s">
        <v>46</v>
      </c>
      <c r="B16" s="4" t="s">
        <v>8</v>
      </c>
      <c r="E16" t="s">
        <v>47</v>
      </c>
      <c r="F16" s="12" t="s">
        <v>48</v>
      </c>
      <c r="G16" s="65" t="s">
        <v>36</v>
      </c>
      <c r="I16" s="21">
        <v>0.5</v>
      </c>
      <c r="J16" s="54" t="s">
        <v>37</v>
      </c>
      <c r="K16" s="68"/>
    </row>
    <row r="17" spans="1:11" x14ac:dyDescent="0.3">
      <c r="A17" s="3" t="s">
        <v>49</v>
      </c>
      <c r="B17" s="4" t="s">
        <v>8</v>
      </c>
      <c r="E17" t="s">
        <v>50</v>
      </c>
      <c r="F17" s="10" t="s">
        <v>40</v>
      </c>
      <c r="G17" s="9" t="s">
        <v>10</v>
      </c>
      <c r="I17" s="21" t="str">
        <f>F17</f>
        <v>[0.0, 1.0]</v>
      </c>
      <c r="J17" s="3" t="s">
        <v>10</v>
      </c>
      <c r="K17" s="2"/>
    </row>
    <row r="18" spans="1:11" x14ac:dyDescent="0.3">
      <c r="A18" s="3" t="s">
        <v>51</v>
      </c>
      <c r="B18" s="4" t="s">
        <v>8</v>
      </c>
      <c r="E18" t="s">
        <v>52</v>
      </c>
      <c r="F18" s="12" t="s">
        <v>53</v>
      </c>
      <c r="G18" s="65" t="s">
        <v>36</v>
      </c>
      <c r="I18" s="21">
        <v>0.86</v>
      </c>
      <c r="J18" s="54" t="s">
        <v>37</v>
      </c>
      <c r="K18" s="68"/>
    </row>
    <row r="19" spans="1:11" x14ac:dyDescent="0.3">
      <c r="A19" s="3" t="s">
        <v>54</v>
      </c>
      <c r="B19" s="4" t="s">
        <v>8</v>
      </c>
      <c r="E19" t="s">
        <v>55</v>
      </c>
      <c r="F19" s="10" t="s">
        <v>40</v>
      </c>
      <c r="G19" s="9" t="s">
        <v>10</v>
      </c>
      <c r="I19" s="21" t="str">
        <f>F19</f>
        <v>[0.0, 1.0]</v>
      </c>
      <c r="J19" s="3" t="s">
        <v>10</v>
      </c>
      <c r="K19" s="2"/>
    </row>
    <row r="20" spans="1:11" x14ac:dyDescent="0.3">
      <c r="A20" s="3" t="s">
        <v>56</v>
      </c>
      <c r="B20" s="4" t="s">
        <v>8</v>
      </c>
      <c r="E20" t="s">
        <v>57</v>
      </c>
      <c r="F20" s="10">
        <v>2</v>
      </c>
      <c r="G20" s="9" t="s">
        <v>10</v>
      </c>
      <c r="I20" s="21">
        <f>F20</f>
        <v>2</v>
      </c>
      <c r="J20" s="3" t="s">
        <v>10</v>
      </c>
      <c r="K20" s="2"/>
    </row>
    <row r="21" spans="1:11" x14ac:dyDescent="0.3">
      <c r="A21" s="3" t="s">
        <v>58</v>
      </c>
      <c r="B21" s="4" t="s">
        <v>8</v>
      </c>
      <c r="E21" t="s">
        <v>59</v>
      </c>
      <c r="F21" s="11" t="s">
        <v>60</v>
      </c>
      <c r="G21" s="66" t="s">
        <v>61</v>
      </c>
      <c r="I21" s="11"/>
      <c r="J21" s="69" t="s">
        <v>61</v>
      </c>
      <c r="K21" s="68"/>
    </row>
    <row r="22" spans="1:11" x14ac:dyDescent="0.3">
      <c r="A22" s="3" t="s">
        <v>62</v>
      </c>
      <c r="B22" s="4" t="s">
        <v>8</v>
      </c>
      <c r="E22" t="s">
        <v>63</v>
      </c>
      <c r="F22" s="11" t="s">
        <v>64</v>
      </c>
      <c r="G22" s="66" t="s">
        <v>61</v>
      </c>
      <c r="I22" s="11"/>
      <c r="J22" s="69" t="s">
        <v>61</v>
      </c>
      <c r="K22" s="68"/>
    </row>
    <row r="23" spans="1:11" x14ac:dyDescent="0.3">
      <c r="A23" s="3" t="s">
        <v>65</v>
      </c>
      <c r="B23" s="4" t="s">
        <v>8</v>
      </c>
      <c r="E23" t="s">
        <v>66</v>
      </c>
      <c r="F23" s="11" t="s">
        <v>67</v>
      </c>
      <c r="G23" s="66" t="s">
        <v>61</v>
      </c>
      <c r="I23" s="11"/>
      <c r="J23" s="69" t="s">
        <v>61</v>
      </c>
      <c r="K23" s="68"/>
    </row>
    <row r="24" spans="1:11" x14ac:dyDescent="0.3">
      <c r="A24" s="3" t="s">
        <v>68</v>
      </c>
      <c r="B24" s="4" t="s">
        <v>8</v>
      </c>
      <c r="E24" t="s">
        <v>69</v>
      </c>
      <c r="F24" s="11" t="s">
        <v>70</v>
      </c>
      <c r="G24" s="66" t="s">
        <v>61</v>
      </c>
      <c r="J24" s="54" t="s">
        <v>71</v>
      </c>
      <c r="K24" s="68"/>
    </row>
    <row r="25" spans="1:11" s="8" customFormat="1" x14ac:dyDescent="0.3">
      <c r="A25" s="63"/>
      <c r="B25" s="63"/>
      <c r="F25" s="62"/>
      <c r="J25" s="63"/>
    </row>
    <row r="26" spans="1:11" x14ac:dyDescent="0.3">
      <c r="A26" s="3" t="s">
        <v>72</v>
      </c>
      <c r="B26" s="4" t="s">
        <v>73</v>
      </c>
      <c r="E26" t="s">
        <v>74</v>
      </c>
      <c r="F26" s="12" t="s">
        <v>75</v>
      </c>
      <c r="G26" s="65" t="s">
        <v>36</v>
      </c>
      <c r="I26" s="11">
        <f>(I172+I191+I201+I209*I229+I219+I233*I229+I247+I282+I286+I291+I294+I298+I299+I305+I309*I312+I320+I330+I337+I341+I345+I349+I353+I357+I361+I368+I371)/(1-I374)</f>
        <v>20.918461538461536</v>
      </c>
      <c r="J26" s="69" t="s">
        <v>61</v>
      </c>
      <c r="K26" s="68"/>
    </row>
    <row r="27" spans="1:11" x14ac:dyDescent="0.3">
      <c r="A27" s="3" t="s">
        <v>76</v>
      </c>
      <c r="B27" s="4" t="s">
        <v>73</v>
      </c>
      <c r="E27" t="s">
        <v>77</v>
      </c>
      <c r="F27" s="10" t="s">
        <v>78</v>
      </c>
      <c r="G27" s="9" t="s">
        <v>10</v>
      </c>
      <c r="I27" s="21" t="str">
        <f>F27</f>
        <v>[1.0, 25.0]</v>
      </c>
      <c r="J27" s="54" t="s">
        <v>10</v>
      </c>
      <c r="K27" s="68"/>
    </row>
    <row r="28" spans="1:11" x14ac:dyDescent="0.3">
      <c r="A28" s="3" t="s">
        <v>79</v>
      </c>
      <c r="B28" s="4" t="s">
        <v>73</v>
      </c>
      <c r="E28" t="s">
        <v>80</v>
      </c>
      <c r="F28" s="12" t="s">
        <v>81</v>
      </c>
      <c r="G28" s="65" t="s">
        <v>36</v>
      </c>
      <c r="I28" s="21"/>
      <c r="J28" s="54" t="s">
        <v>10</v>
      </c>
      <c r="K28" s="68"/>
    </row>
    <row r="29" spans="1:11" x14ac:dyDescent="0.3">
      <c r="A29" s="3" t="s">
        <v>82</v>
      </c>
      <c r="B29" s="4" t="s">
        <v>73</v>
      </c>
      <c r="E29" t="s">
        <v>83</v>
      </c>
      <c r="F29" s="10" t="s">
        <v>84</v>
      </c>
      <c r="G29" s="9" t="s">
        <v>10</v>
      </c>
      <c r="I29" s="21" t="str">
        <f>F29</f>
        <v>[5.0, 18.0]</v>
      </c>
      <c r="J29" s="54" t="s">
        <v>10</v>
      </c>
      <c r="K29" s="68"/>
    </row>
    <row r="30" spans="1:11" x14ac:dyDescent="0.3">
      <c r="A30" s="3" t="s">
        <v>85</v>
      </c>
      <c r="B30" s="4" t="s">
        <v>73</v>
      </c>
      <c r="E30" t="s">
        <v>86</v>
      </c>
      <c r="F30" s="12" t="s">
        <v>87</v>
      </c>
      <c r="G30" s="65" t="s">
        <v>36</v>
      </c>
      <c r="I30" s="21"/>
      <c r="J30" s="54" t="s">
        <v>10</v>
      </c>
      <c r="K30" s="68"/>
    </row>
    <row r="31" spans="1:11" x14ac:dyDescent="0.3">
      <c r="A31" s="3" t="s">
        <v>88</v>
      </c>
      <c r="B31" s="4" t="s">
        <v>73</v>
      </c>
      <c r="E31" t="s">
        <v>89</v>
      </c>
      <c r="F31" s="10" t="s">
        <v>84</v>
      </c>
      <c r="G31" s="9" t="s">
        <v>10</v>
      </c>
      <c r="I31" s="21" t="str">
        <f>F31</f>
        <v>[5.0, 18.0]</v>
      </c>
      <c r="J31" s="54" t="s">
        <v>10</v>
      </c>
      <c r="K31" s="68"/>
    </row>
    <row r="32" spans="1:11" x14ac:dyDescent="0.3">
      <c r="A32" s="3" t="s">
        <v>90</v>
      </c>
      <c r="B32" s="4" t="s">
        <v>73</v>
      </c>
      <c r="E32" t="s">
        <v>91</v>
      </c>
      <c r="F32" s="10" t="s">
        <v>92</v>
      </c>
      <c r="G32" s="9" t="s">
        <v>10</v>
      </c>
      <c r="I32" s="21" t="str">
        <f>F32</f>
        <v>5.0</v>
      </c>
      <c r="J32" s="54" t="s">
        <v>10</v>
      </c>
      <c r="K32" s="68"/>
    </row>
    <row r="33" spans="1:11" x14ac:dyDescent="0.3">
      <c r="A33" s="3" t="s">
        <v>93</v>
      </c>
      <c r="B33" s="4" t="s">
        <v>73</v>
      </c>
      <c r="E33" t="s">
        <v>94</v>
      </c>
      <c r="F33" s="11" t="s">
        <v>95</v>
      </c>
      <c r="G33" s="66" t="s">
        <v>61</v>
      </c>
      <c r="I33" s="21"/>
      <c r="J33" s="54" t="s">
        <v>10</v>
      </c>
      <c r="K33" s="68"/>
    </row>
    <row r="34" spans="1:11" x14ac:dyDescent="0.3">
      <c r="A34" s="3" t="s">
        <v>96</v>
      </c>
      <c r="B34" s="4" t="s">
        <v>73</v>
      </c>
      <c r="E34" t="s">
        <v>97</v>
      </c>
      <c r="F34" s="10">
        <v>0.03</v>
      </c>
      <c r="G34" s="9" t="s">
        <v>10</v>
      </c>
      <c r="I34" s="21"/>
      <c r="J34" s="54" t="s">
        <v>71</v>
      </c>
      <c r="K34" s="68"/>
    </row>
    <row r="35" spans="1:11" x14ac:dyDescent="0.3">
      <c r="A35" s="3" t="s">
        <v>98</v>
      </c>
      <c r="B35" s="4" t="s">
        <v>73</v>
      </c>
      <c r="E35" t="s">
        <v>99</v>
      </c>
      <c r="F35" s="10" t="s">
        <v>100</v>
      </c>
      <c r="G35" s="9" t="s">
        <v>10</v>
      </c>
      <c r="I35" s="21"/>
      <c r="J35" s="54" t="s">
        <v>71</v>
      </c>
      <c r="K35" s="68"/>
    </row>
    <row r="36" spans="1:11" x14ac:dyDescent="0.3">
      <c r="A36" s="3" t="s">
        <v>101</v>
      </c>
      <c r="B36" s="4" t="s">
        <v>73</v>
      </c>
      <c r="E36" t="s">
        <v>102</v>
      </c>
      <c r="F36" s="11" t="s">
        <v>103</v>
      </c>
      <c r="G36" s="66" t="s">
        <v>61</v>
      </c>
      <c r="I36" s="21"/>
      <c r="J36" s="54" t="s">
        <v>71</v>
      </c>
      <c r="K36" s="68"/>
    </row>
    <row r="37" spans="1:11" x14ac:dyDescent="0.3">
      <c r="A37" s="3" t="s">
        <v>104</v>
      </c>
      <c r="B37" s="4" t="s">
        <v>73</v>
      </c>
      <c r="E37" t="s">
        <v>105</v>
      </c>
      <c r="F37" s="11" t="s">
        <v>106</v>
      </c>
      <c r="G37" s="66" t="s">
        <v>61</v>
      </c>
      <c r="I37" s="21"/>
      <c r="J37" s="54" t="s">
        <v>71</v>
      </c>
      <c r="K37" s="68"/>
    </row>
    <row r="38" spans="1:11" x14ac:dyDescent="0.3">
      <c r="A38" s="3" t="s">
        <v>107</v>
      </c>
      <c r="B38" s="4" t="s">
        <v>73</v>
      </c>
      <c r="E38" t="s">
        <v>108</v>
      </c>
      <c r="F38" s="11" t="s">
        <v>109</v>
      </c>
      <c r="G38" s="66" t="s">
        <v>61</v>
      </c>
      <c r="I38" s="21"/>
      <c r="J38" s="54" t="s">
        <v>71</v>
      </c>
      <c r="K38" s="68"/>
    </row>
    <row r="39" spans="1:11" x14ac:dyDescent="0.3">
      <c r="A39" s="3" t="s">
        <v>110</v>
      </c>
      <c r="B39" s="4" t="s">
        <v>73</v>
      </c>
      <c r="E39" t="s">
        <v>111</v>
      </c>
      <c r="F39" s="10">
        <v>2.5</v>
      </c>
      <c r="G39" s="9" t="s">
        <v>10</v>
      </c>
      <c r="I39" s="21"/>
      <c r="J39" s="54" t="s">
        <v>71</v>
      </c>
      <c r="K39" s="68"/>
    </row>
    <row r="40" spans="1:11" x14ac:dyDescent="0.3">
      <c r="A40" s="3" t="s">
        <v>112</v>
      </c>
      <c r="B40" s="4" t="s">
        <v>73</v>
      </c>
      <c r="E40" t="s">
        <v>113</v>
      </c>
      <c r="F40" s="11" t="s">
        <v>114</v>
      </c>
      <c r="G40" s="66" t="s">
        <v>61</v>
      </c>
      <c r="I40" s="11"/>
      <c r="J40" s="69" t="s">
        <v>61</v>
      </c>
      <c r="K40" s="68"/>
    </row>
    <row r="41" spans="1:11" x14ac:dyDescent="0.3">
      <c r="A41" s="3" t="s">
        <v>115</v>
      </c>
      <c r="B41" s="4" t="s">
        <v>73</v>
      </c>
      <c r="E41" t="s">
        <v>116</v>
      </c>
      <c r="F41" s="11" t="s">
        <v>117</v>
      </c>
      <c r="G41" s="66" t="s">
        <v>61</v>
      </c>
      <c r="I41" s="11"/>
      <c r="J41" s="69" t="s">
        <v>61</v>
      </c>
      <c r="K41" s="68"/>
    </row>
    <row r="42" spans="1:11" x14ac:dyDescent="0.3">
      <c r="A42" s="3" t="s">
        <v>118</v>
      </c>
      <c r="B42" s="4" t="s">
        <v>73</v>
      </c>
      <c r="E42" t="s">
        <v>119</v>
      </c>
      <c r="F42" s="11" t="s">
        <v>120</v>
      </c>
      <c r="G42" s="66" t="s">
        <v>61</v>
      </c>
      <c r="I42" s="11"/>
      <c r="J42" s="69" t="s">
        <v>61</v>
      </c>
      <c r="K42" s="68"/>
    </row>
    <row r="43" spans="1:11" x14ac:dyDescent="0.3">
      <c r="A43" s="3" t="s">
        <v>121</v>
      </c>
      <c r="B43" s="4" t="s">
        <v>73</v>
      </c>
      <c r="E43" t="s">
        <v>122</v>
      </c>
      <c r="F43" s="11" t="s">
        <v>123</v>
      </c>
      <c r="G43" s="66" t="s">
        <v>61</v>
      </c>
      <c r="I43" s="11"/>
      <c r="J43" s="69" t="s">
        <v>61</v>
      </c>
      <c r="K43" s="68"/>
    </row>
    <row r="44" spans="1:11" x14ac:dyDescent="0.3">
      <c r="A44" s="3" t="s">
        <v>124</v>
      </c>
      <c r="B44" s="4" t="s">
        <v>73</v>
      </c>
      <c r="E44" t="s">
        <v>125</v>
      </c>
      <c r="F44" s="11" t="s">
        <v>70</v>
      </c>
      <c r="G44" s="66" t="s">
        <v>61</v>
      </c>
      <c r="I44" s="21"/>
      <c r="J44" s="54" t="s">
        <v>71</v>
      </c>
      <c r="K44" s="68"/>
    </row>
    <row r="45" spans="1:11" x14ac:dyDescent="0.3">
      <c r="A45" s="3" t="s">
        <v>126</v>
      </c>
      <c r="B45" s="4" t="s">
        <v>73</v>
      </c>
      <c r="E45" t="s">
        <v>127</v>
      </c>
      <c r="F45" s="11" t="s">
        <v>128</v>
      </c>
      <c r="G45" s="66" t="s">
        <v>61</v>
      </c>
      <c r="I45" s="21"/>
      <c r="J45" s="54" t="s">
        <v>71</v>
      </c>
      <c r="K45" s="68"/>
    </row>
    <row r="46" spans="1:11" x14ac:dyDescent="0.3">
      <c r="A46" s="3" t="s">
        <v>129</v>
      </c>
      <c r="B46" s="4" t="s">
        <v>73</v>
      </c>
      <c r="E46" t="s">
        <v>130</v>
      </c>
      <c r="F46" s="11" t="s">
        <v>131</v>
      </c>
      <c r="G46" s="66" t="s">
        <v>61</v>
      </c>
      <c r="I46" s="21"/>
      <c r="J46" s="54" t="s">
        <v>71</v>
      </c>
      <c r="K46" s="68"/>
    </row>
    <row r="47" spans="1:11" x14ac:dyDescent="0.3">
      <c r="A47" s="3" t="s">
        <v>132</v>
      </c>
      <c r="B47" s="4" t="s">
        <v>73</v>
      </c>
      <c r="E47" t="s">
        <v>133</v>
      </c>
      <c r="F47" s="10">
        <v>0.5</v>
      </c>
      <c r="G47" s="9" t="s">
        <v>10</v>
      </c>
      <c r="I47" s="21"/>
      <c r="J47" s="54" t="s">
        <v>71</v>
      </c>
      <c r="K47" s="68"/>
    </row>
    <row r="48" spans="1:11" x14ac:dyDescent="0.3">
      <c r="A48" s="3" t="s">
        <v>134</v>
      </c>
      <c r="B48" s="4" t="s">
        <v>73</v>
      </c>
      <c r="E48" t="s">
        <v>135</v>
      </c>
      <c r="F48" s="11" t="s">
        <v>136</v>
      </c>
      <c r="G48" s="66" t="s">
        <v>61</v>
      </c>
      <c r="I48" s="21"/>
      <c r="J48" s="54" t="s">
        <v>71</v>
      </c>
      <c r="K48" s="68"/>
    </row>
    <row r="49" spans="1:11" x14ac:dyDescent="0.3">
      <c r="A49" s="3" t="s">
        <v>137</v>
      </c>
      <c r="B49" s="4" t="s">
        <v>73</v>
      </c>
      <c r="E49" s="19" t="s">
        <v>138</v>
      </c>
      <c r="F49" s="10"/>
      <c r="G49" s="71" t="s">
        <v>139</v>
      </c>
      <c r="I49" s="11">
        <f>I180+I195+I203+I216*I229+I226+I234*I229+I248+I284+I288+I292+I296+I302+I303+I307+I311*I312+I322+I332+I339+I343+I347+I351+I355+I359+I363+I369*I367</f>
        <v>74390.13</v>
      </c>
      <c r="J49" s="69" t="s">
        <v>61</v>
      </c>
      <c r="K49" s="68"/>
    </row>
    <row r="50" spans="1:11" s="8" customFormat="1" x14ac:dyDescent="0.3">
      <c r="A50" s="63"/>
      <c r="B50" s="63"/>
      <c r="F50" s="62"/>
      <c r="J50" s="63"/>
    </row>
    <row r="51" spans="1:11" x14ac:dyDescent="0.3">
      <c r="A51" s="3" t="s">
        <v>140</v>
      </c>
      <c r="B51" s="4" t="s">
        <v>141</v>
      </c>
      <c r="E51" t="s">
        <v>142</v>
      </c>
      <c r="F51" s="12" t="s">
        <v>143</v>
      </c>
      <c r="G51" s="65" t="s">
        <v>36</v>
      </c>
      <c r="I51" s="11">
        <v>2.5099999999999998</v>
      </c>
      <c r="J51" s="80" t="s">
        <v>61</v>
      </c>
      <c r="K51" s="68"/>
    </row>
    <row r="52" spans="1:11" x14ac:dyDescent="0.3">
      <c r="A52" s="3" t="s">
        <v>144</v>
      </c>
      <c r="B52" s="4" t="s">
        <v>141</v>
      </c>
      <c r="E52" t="s">
        <v>145</v>
      </c>
      <c r="F52" s="10" t="s">
        <v>146</v>
      </c>
      <c r="G52" s="9" t="s">
        <v>10</v>
      </c>
      <c r="I52" s="21"/>
      <c r="J52" s="3" t="s">
        <v>71</v>
      </c>
      <c r="K52" s="68"/>
    </row>
    <row r="53" spans="1:11" x14ac:dyDescent="0.3">
      <c r="A53" s="3" t="s">
        <v>147</v>
      </c>
      <c r="B53" s="4" t="s">
        <v>141</v>
      </c>
      <c r="E53" t="s">
        <v>148</v>
      </c>
      <c r="F53" s="12" t="s">
        <v>149</v>
      </c>
      <c r="G53" s="65" t="s">
        <v>36</v>
      </c>
      <c r="I53" s="10">
        <v>8</v>
      </c>
      <c r="J53" s="81" t="s">
        <v>10</v>
      </c>
      <c r="K53" s="68"/>
    </row>
    <row r="54" spans="1:11" x14ac:dyDescent="0.3">
      <c r="A54" s="3" t="s">
        <v>150</v>
      </c>
      <c r="B54" s="4" t="s">
        <v>141</v>
      </c>
      <c r="E54" t="s">
        <v>151</v>
      </c>
      <c r="F54" s="10" t="s">
        <v>152</v>
      </c>
      <c r="G54" s="9" t="s">
        <v>10</v>
      </c>
      <c r="I54" s="21"/>
      <c r="J54" s="3" t="s">
        <v>71</v>
      </c>
      <c r="K54" s="68"/>
    </row>
    <row r="55" spans="1:11" x14ac:dyDescent="0.3">
      <c r="A55" s="3" t="s">
        <v>153</v>
      </c>
      <c r="B55" s="4" t="s">
        <v>141</v>
      </c>
      <c r="E55" t="s">
        <v>154</v>
      </c>
      <c r="F55" s="10">
        <v>1</v>
      </c>
      <c r="G55" s="9" t="s">
        <v>10</v>
      </c>
      <c r="I55" s="10">
        <v>1</v>
      </c>
      <c r="J55" s="81" t="s">
        <v>10</v>
      </c>
      <c r="K55" s="68"/>
    </row>
    <row r="56" spans="1:11" x14ac:dyDescent="0.3">
      <c r="A56" s="3" t="s">
        <v>155</v>
      </c>
      <c r="B56" s="4" t="s">
        <v>141</v>
      </c>
      <c r="E56" t="s">
        <v>156</v>
      </c>
      <c r="F56" s="10">
        <v>0.8</v>
      </c>
      <c r="G56" s="9" t="s">
        <v>10</v>
      </c>
      <c r="I56" s="10">
        <v>0.8</v>
      </c>
      <c r="J56" s="81" t="s">
        <v>10</v>
      </c>
      <c r="K56" s="68"/>
    </row>
    <row r="57" spans="1:11" x14ac:dyDescent="0.3">
      <c r="A57" s="3" t="s">
        <v>157</v>
      </c>
      <c r="B57" s="4" t="s">
        <v>141</v>
      </c>
      <c r="E57" t="s">
        <v>158</v>
      </c>
      <c r="F57" s="10">
        <v>0.12</v>
      </c>
      <c r="G57" s="9" t="s">
        <v>10</v>
      </c>
      <c r="I57" s="21"/>
      <c r="J57" s="3" t="s">
        <v>71</v>
      </c>
      <c r="K57" s="68"/>
    </row>
    <row r="58" spans="1:11" x14ac:dyDescent="0.3">
      <c r="A58" s="3" t="s">
        <v>159</v>
      </c>
      <c r="B58" s="4" t="s">
        <v>141</v>
      </c>
      <c r="E58" t="s">
        <v>160</v>
      </c>
      <c r="F58" s="10">
        <v>0.85</v>
      </c>
      <c r="G58" s="9" t="s">
        <v>10</v>
      </c>
      <c r="I58" s="10">
        <v>0.85</v>
      </c>
      <c r="J58" s="81" t="s">
        <v>10</v>
      </c>
      <c r="K58" s="68"/>
    </row>
    <row r="59" spans="1:11" x14ac:dyDescent="0.3">
      <c r="A59" s="3" t="s">
        <v>161</v>
      </c>
      <c r="B59" s="4" t="s">
        <v>141</v>
      </c>
      <c r="E59" t="s">
        <v>162</v>
      </c>
      <c r="F59" s="10">
        <v>0</v>
      </c>
      <c r="G59" s="9" t="s">
        <v>10</v>
      </c>
      <c r="I59" s="21"/>
      <c r="J59" s="3" t="s">
        <v>71</v>
      </c>
      <c r="K59" s="68"/>
    </row>
    <row r="60" spans="1:11" x14ac:dyDescent="0.3">
      <c r="A60" s="3" t="s">
        <v>163</v>
      </c>
      <c r="B60" s="4" t="s">
        <v>141</v>
      </c>
      <c r="E60" t="s">
        <v>164</v>
      </c>
      <c r="F60" s="10">
        <v>0</v>
      </c>
      <c r="G60" s="9" t="s">
        <v>10</v>
      </c>
      <c r="I60" s="21"/>
      <c r="J60" s="3" t="s">
        <v>71</v>
      </c>
      <c r="K60" s="68"/>
    </row>
    <row r="61" spans="1:11" x14ac:dyDescent="0.3">
      <c r="A61" s="3" t="s">
        <v>165</v>
      </c>
      <c r="B61" s="4" t="s">
        <v>141</v>
      </c>
      <c r="E61" t="s">
        <v>166</v>
      </c>
      <c r="F61" s="10">
        <v>0</v>
      </c>
      <c r="G61" s="9" t="s">
        <v>10</v>
      </c>
      <c r="I61" s="21"/>
      <c r="J61" s="3" t="s">
        <v>71</v>
      </c>
      <c r="K61" s="68"/>
    </row>
    <row r="62" spans="1:11" x14ac:dyDescent="0.3">
      <c r="A62" s="3" t="s">
        <v>167</v>
      </c>
      <c r="B62" s="4" t="s">
        <v>141</v>
      </c>
      <c r="E62" t="s">
        <v>168</v>
      </c>
      <c r="F62" s="10">
        <v>0</v>
      </c>
      <c r="G62" s="9" t="s">
        <v>10</v>
      </c>
      <c r="I62" s="21"/>
      <c r="J62" s="3" t="s">
        <v>71</v>
      </c>
      <c r="K62" s="68"/>
    </row>
    <row r="63" spans="1:11" x14ac:dyDescent="0.3">
      <c r="A63" s="3" t="s">
        <v>169</v>
      </c>
      <c r="B63" s="4" t="s">
        <v>141</v>
      </c>
      <c r="E63" t="s">
        <v>170</v>
      </c>
      <c r="F63" s="10">
        <v>2</v>
      </c>
      <c r="G63" s="9" t="s">
        <v>10</v>
      </c>
      <c r="I63" s="21"/>
      <c r="J63" s="3" t="s">
        <v>71</v>
      </c>
      <c r="K63" s="68"/>
    </row>
    <row r="64" spans="1:11" x14ac:dyDescent="0.3">
      <c r="A64" s="3" t="s">
        <v>171</v>
      </c>
      <c r="B64" s="4" t="s">
        <v>141</v>
      </c>
      <c r="E64" t="s">
        <v>172</v>
      </c>
      <c r="F64" s="10">
        <v>0</v>
      </c>
      <c r="G64" s="9" t="s">
        <v>10</v>
      </c>
      <c r="I64" s="21"/>
      <c r="J64" s="3" t="s">
        <v>71</v>
      </c>
      <c r="K64" s="68"/>
    </row>
    <row r="65" spans="1:11" x14ac:dyDescent="0.3">
      <c r="A65" s="3" t="s">
        <v>173</v>
      </c>
      <c r="B65" s="4" t="s">
        <v>141</v>
      </c>
      <c r="E65" t="s">
        <v>174</v>
      </c>
      <c r="F65" s="10">
        <v>0.09</v>
      </c>
      <c r="G65" s="9" t="s">
        <v>10</v>
      </c>
      <c r="I65" s="21"/>
      <c r="J65" s="3" t="s">
        <v>71</v>
      </c>
      <c r="K65" s="68"/>
    </row>
    <row r="66" spans="1:11" x14ac:dyDescent="0.3">
      <c r="A66" s="3" t="s">
        <v>175</v>
      </c>
      <c r="B66" s="4" t="s">
        <v>141</v>
      </c>
      <c r="E66" t="s">
        <v>176</v>
      </c>
      <c r="F66" s="10">
        <v>0.06</v>
      </c>
      <c r="G66" s="9" t="s">
        <v>10</v>
      </c>
      <c r="I66" s="21"/>
      <c r="J66" s="3" t="s">
        <v>71</v>
      </c>
      <c r="K66" s="68"/>
    </row>
    <row r="67" spans="1:11" x14ac:dyDescent="0.3">
      <c r="A67" s="3" t="s">
        <v>177</v>
      </c>
      <c r="B67" s="4" t="s">
        <v>141</v>
      </c>
      <c r="E67" t="s">
        <v>178</v>
      </c>
      <c r="F67" s="10">
        <v>0.4</v>
      </c>
      <c r="G67" s="9" t="s">
        <v>10</v>
      </c>
      <c r="I67" s="21"/>
      <c r="J67" s="3" t="s">
        <v>71</v>
      </c>
      <c r="K67" s="68"/>
    </row>
    <row r="68" spans="1:11" x14ac:dyDescent="0.3">
      <c r="A68" s="3" t="s">
        <v>179</v>
      </c>
      <c r="B68" s="4" t="s">
        <v>141</v>
      </c>
      <c r="E68" t="s">
        <v>180</v>
      </c>
      <c r="F68" s="10">
        <v>0.09</v>
      </c>
      <c r="G68" s="9" t="s">
        <v>10</v>
      </c>
      <c r="I68" s="21"/>
      <c r="J68" s="3" t="s">
        <v>71</v>
      </c>
      <c r="K68" s="68"/>
    </row>
    <row r="69" spans="1:11" x14ac:dyDescent="0.3">
      <c r="A69" s="3" t="s">
        <v>181</v>
      </c>
      <c r="B69" s="4" t="s">
        <v>141</v>
      </c>
      <c r="E69" t="s">
        <v>182</v>
      </c>
      <c r="F69" s="10">
        <v>0.06</v>
      </c>
      <c r="G69" s="9" t="s">
        <v>10</v>
      </c>
      <c r="I69" s="21"/>
      <c r="J69" s="3" t="s">
        <v>71</v>
      </c>
      <c r="K69" s="68"/>
    </row>
    <row r="70" spans="1:11" x14ac:dyDescent="0.3">
      <c r="A70" s="3" t="s">
        <v>183</v>
      </c>
      <c r="B70" s="4" t="s">
        <v>141</v>
      </c>
      <c r="E70" t="s">
        <v>184</v>
      </c>
      <c r="F70" s="10">
        <v>0.4</v>
      </c>
      <c r="G70" s="9" t="s">
        <v>10</v>
      </c>
      <c r="I70" s="21"/>
      <c r="J70" s="3" t="s">
        <v>71</v>
      </c>
      <c r="K70" s="68"/>
    </row>
    <row r="71" spans="1:11" x14ac:dyDescent="0.3">
      <c r="A71" s="3" t="s">
        <v>185</v>
      </c>
      <c r="B71" s="4" t="s">
        <v>141</v>
      </c>
      <c r="E71" t="s">
        <v>186</v>
      </c>
      <c r="F71" s="11" t="s">
        <v>187</v>
      </c>
      <c r="G71" s="66" t="s">
        <v>188</v>
      </c>
      <c r="I71" s="11">
        <f>SQRT(I51*I53)</f>
        <v>4.4810713004816156</v>
      </c>
      <c r="J71" s="80" t="s">
        <v>61</v>
      </c>
      <c r="K71" s="68"/>
    </row>
    <row r="72" spans="1:11" x14ac:dyDescent="0.3">
      <c r="A72" s="3" t="s">
        <v>189</v>
      </c>
      <c r="B72" s="4" t="s">
        <v>141</v>
      </c>
      <c r="E72" t="s">
        <v>190</v>
      </c>
      <c r="F72" s="10" t="s">
        <v>191</v>
      </c>
      <c r="G72" s="9" t="s">
        <v>10</v>
      </c>
      <c r="I72" s="21"/>
      <c r="J72" s="3" t="s">
        <v>71</v>
      </c>
      <c r="K72" s="68"/>
    </row>
    <row r="73" spans="1:11" x14ac:dyDescent="0.3">
      <c r="A73" s="3" t="s">
        <v>192</v>
      </c>
      <c r="B73" s="4" t="s">
        <v>141</v>
      </c>
      <c r="E73" t="s">
        <v>193</v>
      </c>
      <c r="F73" s="10">
        <v>0.25</v>
      </c>
      <c r="G73" s="9" t="s">
        <v>10</v>
      </c>
      <c r="I73" s="10">
        <v>0.25</v>
      </c>
      <c r="J73" s="81" t="s">
        <v>10</v>
      </c>
      <c r="K73" s="68"/>
    </row>
    <row r="74" spans="1:11" x14ac:dyDescent="0.3">
      <c r="A74" s="3" t="s">
        <v>194</v>
      </c>
      <c r="B74" s="4" t="s">
        <v>141</v>
      </c>
      <c r="E74" t="s">
        <v>195</v>
      </c>
      <c r="F74" s="10">
        <v>0.6</v>
      </c>
      <c r="G74" s="9" t="s">
        <v>10</v>
      </c>
      <c r="I74" s="10">
        <v>0.6</v>
      </c>
      <c r="J74" s="81" t="s">
        <v>10</v>
      </c>
      <c r="K74" s="68"/>
    </row>
    <row r="75" spans="1:11" x14ac:dyDescent="0.3">
      <c r="A75" s="3" t="s">
        <v>196</v>
      </c>
      <c r="B75" s="4" t="s">
        <v>141</v>
      </c>
      <c r="E75" t="s">
        <v>197</v>
      </c>
      <c r="F75" s="10">
        <v>0.9</v>
      </c>
      <c r="G75" s="71" t="s">
        <v>10</v>
      </c>
      <c r="I75" s="10">
        <v>0.9</v>
      </c>
      <c r="J75" s="81" t="s">
        <v>10</v>
      </c>
      <c r="K75" s="68"/>
    </row>
    <row r="76" spans="1:11" x14ac:dyDescent="0.3">
      <c r="A76" s="3" t="s">
        <v>198</v>
      </c>
      <c r="B76" s="4" t="s">
        <v>141</v>
      </c>
      <c r="E76" t="s">
        <v>199</v>
      </c>
      <c r="F76" s="11" t="s">
        <v>200</v>
      </c>
      <c r="G76" s="70" t="s">
        <v>61</v>
      </c>
      <c r="I76" s="11">
        <f>2*I51/(I71*(1+I56))</f>
        <v>0.62237101395577998</v>
      </c>
      <c r="J76" s="80" t="s">
        <v>61</v>
      </c>
      <c r="K76" s="68"/>
    </row>
    <row r="77" spans="1:11" x14ac:dyDescent="0.3">
      <c r="A77" s="3" t="s">
        <v>201</v>
      </c>
      <c r="B77" s="4" t="s">
        <v>141</v>
      </c>
      <c r="E77" t="s">
        <v>202</v>
      </c>
      <c r="F77" s="11" t="s">
        <v>203</v>
      </c>
      <c r="G77" s="70" t="s">
        <v>61</v>
      </c>
      <c r="I77" s="11">
        <f>I76*I56</f>
        <v>0.49789681116462403</v>
      </c>
      <c r="J77" s="80" t="s">
        <v>61</v>
      </c>
      <c r="K77" s="68"/>
    </row>
    <row r="78" spans="1:11" x14ac:dyDescent="0.3">
      <c r="A78" s="3" t="s">
        <v>204</v>
      </c>
      <c r="B78" s="4" t="s">
        <v>141</v>
      </c>
      <c r="E78" t="s">
        <v>205</v>
      </c>
      <c r="F78" s="11"/>
      <c r="G78" s="70" t="s">
        <v>61</v>
      </c>
      <c r="I78" s="11">
        <f>(I71/2)*TAN(RADIANS(I55))</f>
        <v>3.9108695248939507E-2</v>
      </c>
      <c r="J78" s="80" t="s">
        <v>61</v>
      </c>
      <c r="K78" s="68"/>
    </row>
    <row r="79" spans="1:11" x14ac:dyDescent="0.3">
      <c r="A79" s="3" t="s">
        <v>206</v>
      </c>
      <c r="B79" s="4" t="s">
        <v>141</v>
      </c>
      <c r="E79" t="s">
        <v>207</v>
      </c>
      <c r="F79" s="11"/>
      <c r="G79" s="70" t="s">
        <v>61</v>
      </c>
      <c r="I79" s="11">
        <f>(2/3)*I76*((1+I56+I56^2)/(1+I56))</f>
        <v>0.56243899038966794</v>
      </c>
      <c r="J79" s="80" t="s">
        <v>61</v>
      </c>
      <c r="K79" s="68"/>
    </row>
    <row r="80" spans="1:11" x14ac:dyDescent="0.3">
      <c r="A80" s="3" t="s">
        <v>208</v>
      </c>
      <c r="B80" s="4" t="s">
        <v>141</v>
      </c>
      <c r="E80" s="19" t="s">
        <v>209</v>
      </c>
      <c r="F80" s="11"/>
      <c r="G80" s="70" t="s">
        <v>61</v>
      </c>
      <c r="I80" s="11">
        <f>I79/4</f>
        <v>0.14060974759741698</v>
      </c>
      <c r="J80" s="80" t="s">
        <v>61</v>
      </c>
      <c r="K80" s="68"/>
    </row>
    <row r="81" spans="1:11" x14ac:dyDescent="0.3">
      <c r="A81" s="3" t="s">
        <v>210</v>
      </c>
      <c r="B81" s="4" t="s">
        <v>141</v>
      </c>
      <c r="E81" s="19" t="s">
        <v>211</v>
      </c>
      <c r="F81" s="11"/>
      <c r="G81" s="70" t="s">
        <v>61</v>
      </c>
      <c r="I81" s="11">
        <f>(I71/6)*((1+2*I56)/(1+I56))</f>
        <v>1.0787764241900186</v>
      </c>
      <c r="J81" s="80" t="s">
        <v>61</v>
      </c>
      <c r="K81" s="68"/>
    </row>
    <row r="82" spans="1:11" x14ac:dyDescent="0.3">
      <c r="A82" s="3" t="s">
        <v>212</v>
      </c>
      <c r="B82" s="4" t="s">
        <v>141</v>
      </c>
      <c r="E82" s="19" t="s">
        <v>213</v>
      </c>
      <c r="F82" s="11"/>
      <c r="G82" s="70" t="s">
        <v>61</v>
      </c>
      <c r="I82" s="11">
        <f>TAN(RADIANS(I55))*I81</f>
        <v>1.883011252726717E-2</v>
      </c>
      <c r="J82" s="80" t="s">
        <v>61</v>
      </c>
      <c r="K82" s="68"/>
    </row>
    <row r="83" spans="1:11" x14ac:dyDescent="0.3">
      <c r="A83" s="3" t="s">
        <v>214</v>
      </c>
      <c r="B83" s="4" t="s">
        <v>141</v>
      </c>
      <c r="E83" s="19" t="s">
        <v>215</v>
      </c>
      <c r="F83" s="11"/>
      <c r="G83" s="70" t="s">
        <v>61</v>
      </c>
      <c r="I83" s="11">
        <f>I82+I80</f>
        <v>0.15943986012468414</v>
      </c>
      <c r="J83" s="80" t="s">
        <v>61</v>
      </c>
      <c r="K83" s="68"/>
    </row>
    <row r="84" spans="1:11" s="8" customFormat="1" x14ac:dyDescent="0.3">
      <c r="A84" s="63"/>
      <c r="B84" s="63"/>
      <c r="F84" s="62"/>
      <c r="J84" s="63"/>
    </row>
    <row r="85" spans="1:11" x14ac:dyDescent="0.3">
      <c r="A85" s="3" t="s">
        <v>216</v>
      </c>
      <c r="B85" s="4" t="s">
        <v>217</v>
      </c>
      <c r="E85" t="s">
        <v>218</v>
      </c>
      <c r="F85" s="10">
        <v>0.6</v>
      </c>
      <c r="G85" s="9" t="s">
        <v>10</v>
      </c>
      <c r="I85" s="10">
        <v>0.6</v>
      </c>
      <c r="J85" s="9" t="s">
        <v>10</v>
      </c>
    </row>
    <row r="86" spans="1:11" x14ac:dyDescent="0.3">
      <c r="A86" s="3" t="s">
        <v>219</v>
      </c>
      <c r="B86" s="4" t="s">
        <v>217</v>
      </c>
      <c r="E86" t="s">
        <v>220</v>
      </c>
      <c r="F86" s="10">
        <v>0.03</v>
      </c>
      <c r="G86" s="9" t="s">
        <v>10</v>
      </c>
      <c r="I86" s="10">
        <v>0.03</v>
      </c>
      <c r="J86" s="9" t="s">
        <v>10</v>
      </c>
    </row>
    <row r="87" spans="1:11" x14ac:dyDescent="0.3">
      <c r="A87" s="3" t="s">
        <v>221</v>
      </c>
      <c r="B87" s="4" t="s">
        <v>217</v>
      </c>
      <c r="E87" t="s">
        <v>222</v>
      </c>
      <c r="F87" s="10">
        <v>8</v>
      </c>
      <c r="G87" s="9" t="s">
        <v>10</v>
      </c>
      <c r="I87" s="10">
        <v>8</v>
      </c>
      <c r="J87" s="9" t="s">
        <v>10</v>
      </c>
    </row>
    <row r="88" spans="1:11" x14ac:dyDescent="0.3">
      <c r="A88" s="3" t="s">
        <v>223</v>
      </c>
      <c r="B88" s="4" t="s">
        <v>217</v>
      </c>
      <c r="E88" t="s">
        <v>224</v>
      </c>
      <c r="F88" s="10">
        <v>5</v>
      </c>
      <c r="G88" s="9" t="s">
        <v>10</v>
      </c>
      <c r="I88" s="10">
        <v>5</v>
      </c>
      <c r="J88" s="9" t="s">
        <v>10</v>
      </c>
    </row>
    <row r="89" spans="1:11" x14ac:dyDescent="0.3">
      <c r="A89" s="3" t="s">
        <v>225</v>
      </c>
      <c r="B89" s="4" t="s">
        <v>217</v>
      </c>
      <c r="E89" t="s">
        <v>226</v>
      </c>
      <c r="F89" s="10">
        <v>1</v>
      </c>
      <c r="G89" s="9" t="s">
        <v>10</v>
      </c>
      <c r="I89" s="10">
        <v>0.8</v>
      </c>
      <c r="J89" s="9" t="s">
        <v>10</v>
      </c>
    </row>
    <row r="90" spans="1:11" x14ac:dyDescent="0.3">
      <c r="A90" s="3" t="s">
        <v>227</v>
      </c>
      <c r="B90" s="4" t="s">
        <v>217</v>
      </c>
      <c r="E90" t="s">
        <v>228</v>
      </c>
      <c r="F90" s="10">
        <v>1</v>
      </c>
      <c r="G90" s="9" t="s">
        <v>10</v>
      </c>
      <c r="I90" s="10">
        <v>0.9</v>
      </c>
      <c r="J90" s="9" t="s">
        <v>10</v>
      </c>
    </row>
    <row r="91" spans="1:11" x14ac:dyDescent="0.3">
      <c r="A91" s="3" t="s">
        <v>229</v>
      </c>
      <c r="B91" s="4" t="s">
        <v>217</v>
      </c>
      <c r="E91" t="s">
        <v>230</v>
      </c>
      <c r="F91" s="10">
        <v>0</v>
      </c>
      <c r="G91" s="9" t="s">
        <v>10</v>
      </c>
      <c r="I91" s="10" t="s">
        <v>231</v>
      </c>
      <c r="J91" s="9" t="s">
        <v>10</v>
      </c>
    </row>
    <row r="92" spans="1:11" x14ac:dyDescent="0.3">
      <c r="A92" s="3" t="s">
        <v>232</v>
      </c>
      <c r="B92" s="4" t="s">
        <v>217</v>
      </c>
      <c r="E92" t="s">
        <v>233</v>
      </c>
      <c r="F92" s="10">
        <v>0</v>
      </c>
      <c r="G92" s="9" t="s">
        <v>10</v>
      </c>
      <c r="I92" s="10">
        <v>2</v>
      </c>
      <c r="J92" s="9" t="s">
        <v>10</v>
      </c>
    </row>
    <row r="93" spans="1:11" x14ac:dyDescent="0.3">
      <c r="A93" s="3" t="s">
        <v>234</v>
      </c>
      <c r="B93" s="4" t="s">
        <v>217</v>
      </c>
      <c r="E93" t="s">
        <v>235</v>
      </c>
      <c r="F93" s="10">
        <v>0</v>
      </c>
      <c r="G93" s="9" t="s">
        <v>10</v>
      </c>
      <c r="I93" s="10">
        <v>0</v>
      </c>
      <c r="J93" s="9" t="s">
        <v>10</v>
      </c>
    </row>
    <row r="94" spans="1:11" x14ac:dyDescent="0.3">
      <c r="A94" s="3" t="s">
        <v>236</v>
      </c>
      <c r="B94" s="4" t="s">
        <v>217</v>
      </c>
      <c r="E94" t="s">
        <v>237</v>
      </c>
      <c r="F94" s="10">
        <v>0</v>
      </c>
      <c r="G94" s="9" t="s">
        <v>10</v>
      </c>
      <c r="I94" s="10">
        <v>0</v>
      </c>
      <c r="J94" s="9" t="s">
        <v>10</v>
      </c>
    </row>
    <row r="95" spans="1:11" x14ac:dyDescent="0.3">
      <c r="A95" s="3" t="s">
        <v>238</v>
      </c>
      <c r="B95" s="4" t="s">
        <v>217</v>
      </c>
      <c r="E95" t="s">
        <v>239</v>
      </c>
      <c r="F95" s="10">
        <v>90</v>
      </c>
      <c r="G95" s="9" t="s">
        <v>10</v>
      </c>
      <c r="I95" s="10">
        <v>90</v>
      </c>
      <c r="J95" s="9" t="s">
        <v>10</v>
      </c>
    </row>
    <row r="96" spans="1:11" x14ac:dyDescent="0.3">
      <c r="A96" s="3" t="s">
        <v>240</v>
      </c>
      <c r="B96" s="4" t="s">
        <v>217</v>
      </c>
      <c r="E96" t="s">
        <v>241</v>
      </c>
      <c r="F96" s="10" t="s">
        <v>242</v>
      </c>
      <c r="G96" s="9" t="s">
        <v>10</v>
      </c>
      <c r="I96" s="10" t="s">
        <v>242</v>
      </c>
      <c r="J96" s="9" t="s">
        <v>10</v>
      </c>
    </row>
    <row r="97" spans="1:10" x14ac:dyDescent="0.3">
      <c r="A97" s="3" t="s">
        <v>243</v>
      </c>
      <c r="B97" s="4" t="s">
        <v>217</v>
      </c>
      <c r="E97" t="s">
        <v>244</v>
      </c>
      <c r="F97" s="10">
        <v>0</v>
      </c>
      <c r="G97" s="9" t="s">
        <v>10</v>
      </c>
      <c r="I97" s="10">
        <v>0</v>
      </c>
      <c r="J97" s="9" t="s">
        <v>10</v>
      </c>
    </row>
    <row r="98" spans="1:10" x14ac:dyDescent="0.3">
      <c r="A98" s="3" t="s">
        <v>245</v>
      </c>
      <c r="B98" s="4" t="s">
        <v>217</v>
      </c>
      <c r="E98" t="s">
        <v>246</v>
      </c>
      <c r="F98" s="10" t="s">
        <v>242</v>
      </c>
      <c r="G98" s="9" t="s">
        <v>10</v>
      </c>
      <c r="I98" s="10" t="s">
        <v>242</v>
      </c>
      <c r="J98" s="9" t="s">
        <v>10</v>
      </c>
    </row>
    <row r="99" spans="1:10" x14ac:dyDescent="0.3">
      <c r="A99" s="3" t="s">
        <v>247</v>
      </c>
      <c r="B99" s="4" t="s">
        <v>217</v>
      </c>
      <c r="E99" t="s">
        <v>248</v>
      </c>
      <c r="F99" s="10">
        <v>0</v>
      </c>
      <c r="G99" s="9" t="s">
        <v>10</v>
      </c>
      <c r="I99" s="10">
        <v>0</v>
      </c>
      <c r="J99" s="9" t="s">
        <v>10</v>
      </c>
    </row>
    <row r="100" spans="1:10" x14ac:dyDescent="0.3">
      <c r="A100" s="3" t="s">
        <v>249</v>
      </c>
      <c r="B100" s="4" t="s">
        <v>217</v>
      </c>
      <c r="E100" t="s">
        <v>250</v>
      </c>
      <c r="F100" s="10">
        <v>0.09</v>
      </c>
      <c r="G100" s="9" t="s">
        <v>10</v>
      </c>
      <c r="I100" s="10">
        <v>0.09</v>
      </c>
      <c r="J100" s="9" t="s">
        <v>10</v>
      </c>
    </row>
    <row r="101" spans="1:10" x14ac:dyDescent="0.3">
      <c r="A101" s="3" t="s">
        <v>251</v>
      </c>
      <c r="B101" s="4" t="s">
        <v>217</v>
      </c>
      <c r="E101" t="s">
        <v>252</v>
      </c>
      <c r="F101" s="10">
        <v>0.12</v>
      </c>
      <c r="G101" s="9" t="s">
        <v>10</v>
      </c>
      <c r="I101" s="10">
        <v>0.12</v>
      </c>
      <c r="J101" s="9" t="s">
        <v>10</v>
      </c>
    </row>
    <row r="102" spans="1:10" x14ac:dyDescent="0.3">
      <c r="A102" s="3" t="s">
        <v>253</v>
      </c>
      <c r="B102" s="4" t="s">
        <v>217</v>
      </c>
      <c r="E102" t="s">
        <v>254</v>
      </c>
      <c r="F102" s="10">
        <v>0.06</v>
      </c>
      <c r="G102" s="9" t="s">
        <v>10</v>
      </c>
      <c r="I102" s="10">
        <v>0.06</v>
      </c>
      <c r="J102" s="9" t="s">
        <v>10</v>
      </c>
    </row>
    <row r="103" spans="1:10" x14ac:dyDescent="0.3">
      <c r="A103" s="3" t="s">
        <v>255</v>
      </c>
      <c r="B103" s="4" t="s">
        <v>217</v>
      </c>
      <c r="E103" t="s">
        <v>256</v>
      </c>
      <c r="F103" s="10">
        <v>0</v>
      </c>
      <c r="G103" s="9" t="s">
        <v>10</v>
      </c>
      <c r="I103" s="10">
        <v>0</v>
      </c>
      <c r="J103" s="9" t="s">
        <v>10</v>
      </c>
    </row>
    <row r="104" spans="1:10" x14ac:dyDescent="0.3">
      <c r="A104" s="3" t="s">
        <v>257</v>
      </c>
      <c r="B104" s="4" t="s">
        <v>217</v>
      </c>
      <c r="E104" t="s">
        <v>258</v>
      </c>
      <c r="F104" s="10" t="s">
        <v>259</v>
      </c>
      <c r="G104" s="9" t="s">
        <v>10</v>
      </c>
      <c r="I104" s="10" t="s">
        <v>259</v>
      </c>
      <c r="J104" s="9" t="s">
        <v>10</v>
      </c>
    </row>
    <row r="105" spans="1:10" x14ac:dyDescent="0.3">
      <c r="A105" s="3" t="s">
        <v>260</v>
      </c>
      <c r="B105" s="4" t="s">
        <v>217</v>
      </c>
      <c r="E105" t="s">
        <v>261</v>
      </c>
      <c r="F105" s="10">
        <v>0</v>
      </c>
      <c r="G105" s="9" t="s">
        <v>10</v>
      </c>
      <c r="I105" s="10">
        <v>0</v>
      </c>
      <c r="J105" s="9" t="s">
        <v>10</v>
      </c>
    </row>
    <row r="106" spans="1:10" x14ac:dyDescent="0.3">
      <c r="A106" s="3" t="s">
        <v>262</v>
      </c>
      <c r="B106" s="4" t="s">
        <v>217</v>
      </c>
      <c r="E106" t="s">
        <v>263</v>
      </c>
      <c r="F106" s="10">
        <v>0.09</v>
      </c>
      <c r="G106" s="9" t="s">
        <v>10</v>
      </c>
      <c r="I106" s="10">
        <v>0.09</v>
      </c>
      <c r="J106" s="9" t="s">
        <v>10</v>
      </c>
    </row>
    <row r="107" spans="1:10" x14ac:dyDescent="0.3">
      <c r="A107" s="3" t="s">
        <v>264</v>
      </c>
      <c r="B107" s="4" t="s">
        <v>217</v>
      </c>
      <c r="E107" t="s">
        <v>265</v>
      </c>
      <c r="F107" s="10">
        <v>0.12</v>
      </c>
      <c r="G107" s="9" t="s">
        <v>10</v>
      </c>
      <c r="I107" s="10">
        <v>0.12</v>
      </c>
      <c r="J107" s="9" t="s">
        <v>10</v>
      </c>
    </row>
    <row r="108" spans="1:10" x14ac:dyDescent="0.3">
      <c r="A108" s="3" t="s">
        <v>266</v>
      </c>
      <c r="B108" s="4" t="s">
        <v>217</v>
      </c>
      <c r="E108" t="s">
        <v>267</v>
      </c>
      <c r="F108" s="10">
        <v>0.06</v>
      </c>
      <c r="G108" s="9" t="s">
        <v>10</v>
      </c>
      <c r="I108" s="10">
        <v>0.06</v>
      </c>
      <c r="J108" s="9" t="s">
        <v>10</v>
      </c>
    </row>
    <row r="109" spans="1:10" x14ac:dyDescent="0.3">
      <c r="A109" s="3" t="s">
        <v>268</v>
      </c>
      <c r="B109" s="4" t="s">
        <v>217</v>
      </c>
      <c r="E109" t="s">
        <v>269</v>
      </c>
      <c r="F109" s="10">
        <v>0</v>
      </c>
      <c r="G109" s="9" t="s">
        <v>10</v>
      </c>
      <c r="I109" s="10">
        <v>0</v>
      </c>
      <c r="J109" s="9" t="s">
        <v>10</v>
      </c>
    </row>
    <row r="110" spans="1:10" x14ac:dyDescent="0.3">
      <c r="A110" s="3" t="s">
        <v>270</v>
      </c>
      <c r="B110" s="4" t="s">
        <v>217</v>
      </c>
      <c r="E110" t="s">
        <v>271</v>
      </c>
      <c r="F110" s="10" t="s">
        <v>259</v>
      </c>
      <c r="G110" s="9" t="s">
        <v>10</v>
      </c>
      <c r="I110" s="10" t="s">
        <v>259</v>
      </c>
      <c r="J110" s="9" t="s">
        <v>10</v>
      </c>
    </row>
    <row r="111" spans="1:10" x14ac:dyDescent="0.3">
      <c r="A111" s="3" t="s">
        <v>272</v>
      </c>
      <c r="B111" s="4" t="s">
        <v>217</v>
      </c>
      <c r="E111" t="s">
        <v>273</v>
      </c>
      <c r="F111" s="10">
        <v>0</v>
      </c>
      <c r="G111" s="9" t="s">
        <v>10</v>
      </c>
      <c r="I111" s="10">
        <v>0</v>
      </c>
      <c r="J111" s="9" t="s">
        <v>10</v>
      </c>
    </row>
    <row r="112" spans="1:10" x14ac:dyDescent="0.3">
      <c r="A112" s="3" t="s">
        <v>274</v>
      </c>
      <c r="B112" s="4" t="s">
        <v>217</v>
      </c>
      <c r="E112" t="s">
        <v>275</v>
      </c>
      <c r="F112" s="10" t="s">
        <v>276</v>
      </c>
      <c r="G112" s="9" t="s">
        <v>10</v>
      </c>
      <c r="I112" s="10" t="s">
        <v>276</v>
      </c>
      <c r="J112" s="9" t="s">
        <v>10</v>
      </c>
    </row>
    <row r="113" spans="1:10" x14ac:dyDescent="0.3">
      <c r="A113" s="3" t="s">
        <v>277</v>
      </c>
      <c r="B113" s="4" t="s">
        <v>217</v>
      </c>
      <c r="E113" t="s">
        <v>278</v>
      </c>
      <c r="F113" s="10">
        <v>0.3</v>
      </c>
      <c r="G113" s="9" t="s">
        <v>10</v>
      </c>
      <c r="I113" s="10">
        <v>0.3</v>
      </c>
      <c r="J113" s="9" t="s">
        <v>10</v>
      </c>
    </row>
    <row r="114" spans="1:10" x14ac:dyDescent="0.3">
      <c r="A114" s="3" t="s">
        <v>279</v>
      </c>
      <c r="B114" s="4" t="s">
        <v>217</v>
      </c>
      <c r="E114" t="s">
        <v>280</v>
      </c>
      <c r="F114" s="10">
        <v>0</v>
      </c>
      <c r="G114" s="9" t="s">
        <v>10</v>
      </c>
      <c r="I114" s="10">
        <v>0</v>
      </c>
      <c r="J114" s="9" t="s">
        <v>10</v>
      </c>
    </row>
    <row r="115" spans="1:10" x14ac:dyDescent="0.3">
      <c r="A115" s="3" t="s">
        <v>281</v>
      </c>
      <c r="B115" s="4" t="s">
        <v>217</v>
      </c>
      <c r="E115" t="s">
        <v>282</v>
      </c>
      <c r="F115" s="10">
        <v>0.1</v>
      </c>
      <c r="G115" s="9" t="s">
        <v>10</v>
      </c>
      <c r="I115" s="10">
        <v>0.1</v>
      </c>
      <c r="J115" s="9" t="s">
        <v>10</v>
      </c>
    </row>
    <row r="116" spans="1:10" x14ac:dyDescent="0.3">
      <c r="A116" s="3" t="s">
        <v>283</v>
      </c>
      <c r="B116" s="4" t="s">
        <v>217</v>
      </c>
      <c r="E116" t="s">
        <v>284</v>
      </c>
      <c r="F116" s="10">
        <v>0.7</v>
      </c>
      <c r="G116" s="9" t="s">
        <v>10</v>
      </c>
      <c r="I116" s="10">
        <v>0.7</v>
      </c>
      <c r="J116" s="9" t="s">
        <v>10</v>
      </c>
    </row>
    <row r="117" spans="1:10" x14ac:dyDescent="0.3">
      <c r="A117" s="3" t="s">
        <v>285</v>
      </c>
      <c r="B117" s="4" t="s">
        <v>217</v>
      </c>
      <c r="E117" t="s">
        <v>286</v>
      </c>
      <c r="F117" s="10">
        <v>0.9</v>
      </c>
      <c r="G117" s="9" t="s">
        <v>10</v>
      </c>
      <c r="I117" s="10">
        <v>0.9</v>
      </c>
      <c r="J117" s="9" t="s">
        <v>10</v>
      </c>
    </row>
    <row r="118" spans="1:10" x14ac:dyDescent="0.3">
      <c r="A118" s="3" t="s">
        <v>287</v>
      </c>
      <c r="B118" s="4" t="s">
        <v>217</v>
      </c>
      <c r="E118" t="s">
        <v>288</v>
      </c>
      <c r="F118" s="10">
        <v>0.02</v>
      </c>
      <c r="G118" s="9" t="s">
        <v>10</v>
      </c>
      <c r="I118" s="10" t="s">
        <v>289</v>
      </c>
      <c r="J118" s="9" t="s">
        <v>10</v>
      </c>
    </row>
    <row r="119" spans="1:10" x14ac:dyDescent="0.3">
      <c r="A119" s="3" t="s">
        <v>290</v>
      </c>
      <c r="B119" s="4" t="s">
        <v>217</v>
      </c>
      <c r="E119" t="s">
        <v>291</v>
      </c>
      <c r="F119" s="11" t="s">
        <v>292</v>
      </c>
      <c r="G119" s="66" t="s">
        <v>61</v>
      </c>
      <c r="I119" s="11">
        <f>I120</f>
        <v>1.3778691029169352</v>
      </c>
      <c r="J119" s="66" t="s">
        <v>61</v>
      </c>
    </row>
    <row r="120" spans="1:10" x14ac:dyDescent="0.3">
      <c r="A120" s="3" t="s">
        <v>293</v>
      </c>
      <c r="B120" s="4" t="s">
        <v>217</v>
      </c>
      <c r="E120" t="s">
        <v>294</v>
      </c>
      <c r="F120" s="11" t="s">
        <v>292</v>
      </c>
      <c r="G120" s="66" t="s">
        <v>61</v>
      </c>
      <c r="I120" s="11">
        <f>I82+I80+(I79-I80)+F147+I230+I230+I118</f>
        <v>1.3778691029169352</v>
      </c>
      <c r="J120" s="66" t="s">
        <v>61</v>
      </c>
    </row>
    <row r="121" spans="1:10" x14ac:dyDescent="0.3">
      <c r="A121" s="3" t="s">
        <v>295</v>
      </c>
      <c r="B121" s="4" t="s">
        <v>217</v>
      </c>
      <c r="E121" t="s">
        <v>296</v>
      </c>
      <c r="F121" s="11" t="s">
        <v>297</v>
      </c>
      <c r="G121" s="66" t="s">
        <v>61</v>
      </c>
      <c r="I121" s="11">
        <f>I230+F147+I238</f>
        <v>0.6169</v>
      </c>
      <c r="J121" s="66" t="s">
        <v>61</v>
      </c>
    </row>
    <row r="122" spans="1:10" x14ac:dyDescent="0.3">
      <c r="A122" s="3" t="s">
        <v>298</v>
      </c>
      <c r="B122" s="4" t="s">
        <v>217</v>
      </c>
      <c r="E122" t="s">
        <v>299</v>
      </c>
      <c r="F122" s="11" t="s">
        <v>300</v>
      </c>
      <c r="G122" s="66" t="s">
        <v>61</v>
      </c>
      <c r="I122" s="11">
        <f>I124</f>
        <v>0.7824461153027783</v>
      </c>
      <c r="J122" s="66" t="s">
        <v>61</v>
      </c>
    </row>
    <row r="123" spans="1:10" x14ac:dyDescent="0.3">
      <c r="A123" s="3" t="s">
        <v>301</v>
      </c>
      <c r="B123" s="4" t="s">
        <v>217</v>
      </c>
      <c r="E123" t="s">
        <v>302</v>
      </c>
      <c r="F123" s="11" t="s">
        <v>303</v>
      </c>
      <c r="G123" s="66" t="s">
        <v>61</v>
      </c>
      <c r="I123" s="11">
        <f>(I86*I51*I71)/I120</f>
        <v>0.24488876934096346</v>
      </c>
      <c r="J123" s="66" t="s">
        <v>61</v>
      </c>
    </row>
    <row r="124" spans="1:10" x14ac:dyDescent="0.3">
      <c r="A124" s="3" t="s">
        <v>304</v>
      </c>
      <c r="B124" s="4" t="s">
        <v>217</v>
      </c>
      <c r="E124" t="s">
        <v>305</v>
      </c>
      <c r="F124" s="11" t="s">
        <v>300</v>
      </c>
      <c r="G124" s="66" t="s">
        <v>61</v>
      </c>
      <c r="I124" s="11">
        <f>SQRT((I123*0.5)*I88)</f>
        <v>0.7824461153027783</v>
      </c>
      <c r="J124" s="66" t="s">
        <v>61</v>
      </c>
    </row>
    <row r="125" spans="1:10" x14ac:dyDescent="0.3">
      <c r="A125" s="3" t="s">
        <v>306</v>
      </c>
      <c r="B125" s="4" t="s">
        <v>217</v>
      </c>
      <c r="E125" t="s">
        <v>307</v>
      </c>
      <c r="F125" s="11" t="s">
        <v>308</v>
      </c>
      <c r="G125" s="66" t="s">
        <v>61</v>
      </c>
      <c r="I125" s="11">
        <f>(2*I123)/(I124*(1+I90))</f>
        <v>0.32945099591695931</v>
      </c>
      <c r="J125" s="66" t="s">
        <v>61</v>
      </c>
    </row>
    <row r="126" spans="1:10" x14ac:dyDescent="0.3">
      <c r="A126" s="3" t="s">
        <v>309</v>
      </c>
      <c r="B126" s="4" t="s">
        <v>217</v>
      </c>
      <c r="E126" t="s">
        <v>310</v>
      </c>
      <c r="F126" s="11" t="s">
        <v>308</v>
      </c>
      <c r="G126" s="66" t="s">
        <v>61</v>
      </c>
      <c r="I126" s="11">
        <f>I125*I90</f>
        <v>0.29650589632526336</v>
      </c>
      <c r="J126" s="66" t="s">
        <v>61</v>
      </c>
    </row>
    <row r="127" spans="1:10" x14ac:dyDescent="0.3">
      <c r="A127" s="3" t="s">
        <v>311</v>
      </c>
      <c r="B127" s="4" t="s">
        <v>217</v>
      </c>
      <c r="E127" t="s">
        <v>312</v>
      </c>
      <c r="F127" s="11"/>
      <c r="G127" s="66" t="s">
        <v>61</v>
      </c>
      <c r="I127" s="11">
        <f>(I124/2)*TAN(RADIANS(I92))</f>
        <v>1.3661810216100894E-2</v>
      </c>
      <c r="J127" s="66" t="s">
        <v>61</v>
      </c>
    </row>
    <row r="128" spans="1:10" x14ac:dyDescent="0.3">
      <c r="A128" s="3" t="s">
        <v>313</v>
      </c>
      <c r="B128" s="4" t="s">
        <v>217</v>
      </c>
      <c r="E128" t="s">
        <v>314</v>
      </c>
      <c r="F128" s="11"/>
      <c r="G128" s="66" t="s">
        <v>61</v>
      </c>
      <c r="I128" s="11">
        <f>(2/3)*I125*((1+I90+I90^2)/(1+I90))</f>
        <v>0.31326743822279285</v>
      </c>
      <c r="J128" s="66" t="s">
        <v>61</v>
      </c>
    </row>
    <row r="129" spans="1:10" x14ac:dyDescent="0.3">
      <c r="A129" s="3" t="s">
        <v>315</v>
      </c>
      <c r="B129" s="4" t="s">
        <v>217</v>
      </c>
      <c r="E129" s="19" t="s">
        <v>316</v>
      </c>
      <c r="F129" s="11"/>
      <c r="G129" s="66" t="s">
        <v>61</v>
      </c>
      <c r="I129" s="11">
        <f>I128/4</f>
        <v>7.8316859555698212E-2</v>
      </c>
      <c r="J129" s="66" t="s">
        <v>61</v>
      </c>
    </row>
    <row r="130" spans="1:10" x14ac:dyDescent="0.3">
      <c r="A130" s="3" t="s">
        <v>317</v>
      </c>
      <c r="B130" s="4" t="s">
        <v>217</v>
      </c>
      <c r="E130" s="19" t="s">
        <v>318</v>
      </c>
      <c r="F130" s="11"/>
      <c r="G130" s="66" t="s">
        <v>61</v>
      </c>
      <c r="I130" s="11">
        <f>(I124/3)*((1+2*I90)/(1+I90))</f>
        <v>0.38435949523645252</v>
      </c>
      <c r="J130" s="66" t="s">
        <v>61</v>
      </c>
    </row>
    <row r="131" spans="1:10" x14ac:dyDescent="0.3">
      <c r="A131" s="3" t="s">
        <v>319</v>
      </c>
      <c r="B131" s="4" t="s">
        <v>217</v>
      </c>
      <c r="E131" s="19" t="s">
        <v>320</v>
      </c>
      <c r="F131" s="11"/>
      <c r="G131" s="66" t="s">
        <v>61</v>
      </c>
      <c r="I131" s="11">
        <f>TAN(RADIANS(I92))*I130</f>
        <v>1.3422129335116668E-2</v>
      </c>
      <c r="J131" s="66" t="s">
        <v>61</v>
      </c>
    </row>
    <row r="132" spans="1:10" x14ac:dyDescent="0.3">
      <c r="A132" s="3" t="s">
        <v>321</v>
      </c>
      <c r="B132" s="4" t="s">
        <v>217</v>
      </c>
      <c r="E132" s="19" t="s">
        <v>322</v>
      </c>
      <c r="F132" s="11" t="s">
        <v>323</v>
      </c>
      <c r="G132" s="66" t="s">
        <v>61</v>
      </c>
      <c r="I132" s="11">
        <f>I133^2/I87</f>
        <v>0.190282805</v>
      </c>
      <c r="J132" s="66" t="s">
        <v>61</v>
      </c>
    </row>
    <row r="133" spans="1:10" x14ac:dyDescent="0.3">
      <c r="A133" s="3" t="s">
        <v>324</v>
      </c>
      <c r="B133" s="4" t="s">
        <v>217</v>
      </c>
      <c r="E133" s="19" t="s">
        <v>325</v>
      </c>
      <c r="F133" s="11" t="s">
        <v>326</v>
      </c>
      <c r="G133" s="66" t="s">
        <v>61</v>
      </c>
      <c r="I133" s="11">
        <f>2*I121</f>
        <v>1.2338</v>
      </c>
      <c r="J133" s="66" t="s">
        <v>61</v>
      </c>
    </row>
    <row r="134" spans="1:10" x14ac:dyDescent="0.3">
      <c r="A134" s="3" t="s">
        <v>327</v>
      </c>
      <c r="B134" s="4" t="s">
        <v>217</v>
      </c>
      <c r="E134" s="19" t="s">
        <v>328</v>
      </c>
      <c r="F134" s="11" t="s">
        <v>308</v>
      </c>
      <c r="G134" s="66" t="s">
        <v>61</v>
      </c>
      <c r="I134" s="11">
        <f>I135/I89</f>
        <v>0.4118137448961991</v>
      </c>
      <c r="J134" s="66" t="s">
        <v>61</v>
      </c>
    </row>
    <row r="135" spans="1:10" x14ac:dyDescent="0.3">
      <c r="A135" s="3" t="s">
        <v>329</v>
      </c>
      <c r="B135" s="4" t="s">
        <v>217</v>
      </c>
      <c r="E135" s="19" t="s">
        <v>330</v>
      </c>
      <c r="F135" s="11" t="s">
        <v>308</v>
      </c>
      <c r="G135" s="66" t="s">
        <v>61</v>
      </c>
      <c r="I135" s="11">
        <f>I125</f>
        <v>0.32945099591695931</v>
      </c>
      <c r="J135" s="66" t="s">
        <v>61</v>
      </c>
    </row>
    <row r="136" spans="1:10" x14ac:dyDescent="0.3">
      <c r="A136" s="3" t="s">
        <v>331</v>
      </c>
      <c r="B136" s="4" t="s">
        <v>217</v>
      </c>
      <c r="E136" s="19" t="s">
        <v>332</v>
      </c>
      <c r="F136" s="11"/>
      <c r="G136" s="66" t="s">
        <v>61</v>
      </c>
      <c r="I136" s="11">
        <f>(I133/2)*TAN(RADIANS(I91))</f>
        <v>2.1542622699459175E-2</v>
      </c>
      <c r="J136" s="66" t="s">
        <v>61</v>
      </c>
    </row>
    <row r="137" spans="1:10" x14ac:dyDescent="0.3">
      <c r="A137" s="3" t="s">
        <v>333</v>
      </c>
      <c r="B137" s="4" t="s">
        <v>217</v>
      </c>
      <c r="E137" s="19" t="s">
        <v>334</v>
      </c>
      <c r="F137" s="11"/>
      <c r="G137" s="66" t="s">
        <v>61</v>
      </c>
      <c r="I137" s="11">
        <f>(2/3)*I134*((1+I89+I89^2)/(1+I89))</f>
        <v>0.37215760649878737</v>
      </c>
      <c r="J137" s="66" t="s">
        <v>61</v>
      </c>
    </row>
    <row r="138" spans="1:10" x14ac:dyDescent="0.3">
      <c r="A138" s="3" t="s">
        <v>335</v>
      </c>
      <c r="B138" s="4" t="s">
        <v>217</v>
      </c>
      <c r="E138" s="19" t="s">
        <v>336</v>
      </c>
      <c r="F138" s="11"/>
      <c r="G138" s="66" t="s">
        <v>61</v>
      </c>
      <c r="I138" s="11">
        <f>I137/4</f>
        <v>9.3039401624696844E-2</v>
      </c>
      <c r="J138" s="66" t="s">
        <v>61</v>
      </c>
    </row>
    <row r="139" spans="1:10" x14ac:dyDescent="0.3">
      <c r="A139" s="3" t="s">
        <v>337</v>
      </c>
      <c r="B139" s="4" t="s">
        <v>217</v>
      </c>
      <c r="E139" s="19" t="s">
        <v>338</v>
      </c>
      <c r="F139" s="11"/>
      <c r="G139" s="66" t="s">
        <v>61</v>
      </c>
      <c r="I139" s="11">
        <f>(I133/6)*((1+2*I89)/(1+I89))</f>
        <v>0.29702592592592592</v>
      </c>
      <c r="J139" s="66" t="s">
        <v>61</v>
      </c>
    </row>
    <row r="140" spans="1:10" x14ac:dyDescent="0.3">
      <c r="A140" s="3" t="s">
        <v>339</v>
      </c>
      <c r="B140" s="4" t="s">
        <v>217</v>
      </c>
      <c r="E140" s="19" t="s">
        <v>340</v>
      </c>
      <c r="F140" s="11"/>
      <c r="G140" s="66" t="s">
        <v>61</v>
      </c>
      <c r="I140" s="11">
        <f>TAN(RADIANS(I91))*I139</f>
        <v>1.0372373892332195E-2</v>
      </c>
      <c r="J140" s="66" t="s">
        <v>61</v>
      </c>
    </row>
    <row r="141" spans="1:10" s="8" customFormat="1" x14ac:dyDescent="0.3">
      <c r="A141" s="63"/>
      <c r="B141" s="63"/>
      <c r="F141" s="62"/>
    </row>
    <row r="142" spans="1:10" x14ac:dyDescent="0.3">
      <c r="A142" s="3" t="s">
        <v>341</v>
      </c>
      <c r="B142" s="4" t="s">
        <v>342</v>
      </c>
      <c r="E142" t="s">
        <v>343</v>
      </c>
      <c r="F142" s="11" t="s">
        <v>344</v>
      </c>
      <c r="G142" s="66" t="s">
        <v>61</v>
      </c>
      <c r="I142" s="11"/>
      <c r="J142" s="66" t="s">
        <v>61</v>
      </c>
    </row>
    <row r="143" spans="1:10" x14ac:dyDescent="0.3">
      <c r="A143" s="3" t="s">
        <v>345</v>
      </c>
      <c r="B143" s="4" t="s">
        <v>342</v>
      </c>
      <c r="E143" t="s">
        <v>346</v>
      </c>
      <c r="F143" s="11" t="s">
        <v>347</v>
      </c>
      <c r="G143" s="66" t="s">
        <v>61</v>
      </c>
      <c r="I143" s="11"/>
      <c r="J143" s="66" t="s">
        <v>61</v>
      </c>
    </row>
    <row r="144" spans="1:10" x14ac:dyDescent="0.3">
      <c r="A144" s="3" t="s">
        <v>348</v>
      </c>
      <c r="B144" s="4" t="s">
        <v>342</v>
      </c>
      <c r="E144" t="s">
        <v>349</v>
      </c>
      <c r="F144" s="11" t="s">
        <v>350</v>
      </c>
      <c r="G144" s="66" t="s">
        <v>61</v>
      </c>
      <c r="I144" s="21"/>
      <c r="J144" s="19" t="s">
        <v>71</v>
      </c>
    </row>
    <row r="145" spans="1:10" x14ac:dyDescent="0.3">
      <c r="A145" s="3" t="s">
        <v>351</v>
      </c>
      <c r="B145" s="4" t="s">
        <v>342</v>
      </c>
      <c r="E145" t="s">
        <v>352</v>
      </c>
      <c r="F145" s="11"/>
      <c r="G145" s="66" t="s">
        <v>61</v>
      </c>
      <c r="I145" s="21"/>
      <c r="J145" s="19" t="s">
        <v>71</v>
      </c>
    </row>
    <row r="146" spans="1:10" x14ac:dyDescent="0.3">
      <c r="A146" s="3" t="s">
        <v>353</v>
      </c>
      <c r="B146" s="4" t="s">
        <v>342</v>
      </c>
      <c r="E146" t="s">
        <v>354</v>
      </c>
      <c r="F146" s="10">
        <v>0.02</v>
      </c>
      <c r="G146" s="9" t="s">
        <v>10</v>
      </c>
      <c r="I146" s="10">
        <v>0.02</v>
      </c>
      <c r="J146" s="9" t="s">
        <v>10</v>
      </c>
    </row>
    <row r="147" spans="1:10" x14ac:dyDescent="0.3">
      <c r="A147" s="3" t="s">
        <v>355</v>
      </c>
      <c r="B147" s="4" t="s">
        <v>342</v>
      </c>
      <c r="E147" t="s">
        <v>356</v>
      </c>
      <c r="F147" s="10">
        <v>0.02</v>
      </c>
      <c r="G147" s="9" t="s">
        <v>10</v>
      </c>
      <c r="I147" s="10">
        <v>0.02</v>
      </c>
      <c r="J147" s="9" t="s">
        <v>10</v>
      </c>
    </row>
    <row r="148" spans="1:10" x14ac:dyDescent="0.3">
      <c r="A148" s="3" t="s">
        <v>357</v>
      </c>
      <c r="B148" s="4" t="s">
        <v>342</v>
      </c>
      <c r="E148" t="s">
        <v>358</v>
      </c>
      <c r="F148" s="10" t="s">
        <v>242</v>
      </c>
      <c r="G148" s="9" t="s">
        <v>10</v>
      </c>
      <c r="I148" s="10" t="s">
        <v>242</v>
      </c>
      <c r="J148" s="9" t="s">
        <v>10</v>
      </c>
    </row>
    <row r="149" spans="1:10" x14ac:dyDescent="0.3">
      <c r="A149" s="3" t="s">
        <v>359</v>
      </c>
      <c r="B149" s="4" t="s">
        <v>342</v>
      </c>
      <c r="E149" t="s">
        <v>360</v>
      </c>
      <c r="F149" s="11"/>
      <c r="G149" s="66" t="s">
        <v>61</v>
      </c>
      <c r="I149" s="11"/>
      <c r="J149" s="66" t="s">
        <v>61</v>
      </c>
    </row>
    <row r="150" spans="1:10" x14ac:dyDescent="0.3">
      <c r="A150" s="3" t="s">
        <v>361</v>
      </c>
      <c r="B150" s="4" t="s">
        <v>342</v>
      </c>
      <c r="E150" t="s">
        <v>362</v>
      </c>
      <c r="F150" s="11"/>
      <c r="G150" s="66" t="s">
        <v>61</v>
      </c>
      <c r="I150" s="21"/>
      <c r="J150" s="19" t="s">
        <v>71</v>
      </c>
    </row>
    <row r="151" spans="1:10" x14ac:dyDescent="0.3">
      <c r="A151" s="3" t="s">
        <v>363</v>
      </c>
      <c r="B151" s="4" t="s">
        <v>342</v>
      </c>
      <c r="E151" t="s">
        <v>364</v>
      </c>
      <c r="F151" s="11"/>
      <c r="G151" s="66" t="s">
        <v>61</v>
      </c>
      <c r="I151" s="21"/>
      <c r="J151" s="19" t="s">
        <v>71</v>
      </c>
    </row>
    <row r="152" spans="1:10" x14ac:dyDescent="0.3">
      <c r="A152" s="3" t="s">
        <v>365</v>
      </c>
      <c r="B152" s="4" t="s">
        <v>342</v>
      </c>
      <c r="E152" t="s">
        <v>366</v>
      </c>
      <c r="F152" s="11"/>
      <c r="G152" s="66" t="s">
        <v>61</v>
      </c>
      <c r="I152" s="21"/>
      <c r="J152" s="19" t="s">
        <v>71</v>
      </c>
    </row>
    <row r="153" spans="1:10" x14ac:dyDescent="0.3">
      <c r="A153" s="3" t="s">
        <v>367</v>
      </c>
      <c r="B153" s="4" t="s">
        <v>342</v>
      </c>
      <c r="E153" t="s">
        <v>368</v>
      </c>
      <c r="F153" s="11"/>
      <c r="G153" s="66" t="s">
        <v>61</v>
      </c>
      <c r="I153" s="21"/>
      <c r="J153" s="19" t="s">
        <v>71</v>
      </c>
    </row>
    <row r="154" spans="1:10" x14ac:dyDescent="0.3">
      <c r="A154" s="3" t="s">
        <v>369</v>
      </c>
      <c r="B154" s="4" t="s">
        <v>342</v>
      </c>
      <c r="E154" t="s">
        <v>370</v>
      </c>
      <c r="F154" s="11"/>
      <c r="G154" s="66" t="s">
        <v>61</v>
      </c>
      <c r="I154" s="21"/>
      <c r="J154" s="19" t="s">
        <v>71</v>
      </c>
    </row>
    <row r="155" spans="1:10" x14ac:dyDescent="0.3">
      <c r="A155" s="3" t="s">
        <v>371</v>
      </c>
      <c r="B155" s="4" t="s">
        <v>342</v>
      </c>
      <c r="E155" t="s">
        <v>372</v>
      </c>
      <c r="F155" s="11"/>
      <c r="G155" s="66" t="s">
        <v>61</v>
      </c>
      <c r="I155" s="21"/>
      <c r="J155" s="19" t="s">
        <v>71</v>
      </c>
    </row>
    <row r="156" spans="1:10" x14ac:dyDescent="0.3">
      <c r="A156" s="3" t="s">
        <v>373</v>
      </c>
      <c r="B156" s="4" t="s">
        <v>342</v>
      </c>
      <c r="E156" t="s">
        <v>374</v>
      </c>
      <c r="F156" s="11"/>
      <c r="G156" s="66" t="s">
        <v>61</v>
      </c>
      <c r="I156" s="21"/>
      <c r="J156" s="19" t="s">
        <v>71</v>
      </c>
    </row>
    <row r="157" spans="1:10" x14ac:dyDescent="0.3">
      <c r="A157" s="3" t="s">
        <v>375</v>
      </c>
      <c r="B157" s="4" t="s">
        <v>342</v>
      </c>
      <c r="E157" t="s">
        <v>376</v>
      </c>
      <c r="F157" s="11"/>
      <c r="G157" s="66" t="s">
        <v>61</v>
      </c>
      <c r="I157" s="21"/>
      <c r="J157" s="19" t="s">
        <v>71</v>
      </c>
    </row>
    <row r="158" spans="1:10" x14ac:dyDescent="0.3">
      <c r="A158" s="3" t="s">
        <v>377</v>
      </c>
      <c r="B158" s="4" t="s">
        <v>342</v>
      </c>
      <c r="E158" t="s">
        <v>378</v>
      </c>
      <c r="F158" s="11"/>
      <c r="G158" s="66" t="s">
        <v>61</v>
      </c>
      <c r="I158" s="21"/>
      <c r="J158" s="19" t="s">
        <v>71</v>
      </c>
    </row>
    <row r="159" spans="1:10" x14ac:dyDescent="0.3">
      <c r="A159" s="3" t="s">
        <v>379</v>
      </c>
      <c r="B159" s="4" t="s">
        <v>342</v>
      </c>
      <c r="E159" t="s">
        <v>380</v>
      </c>
      <c r="F159" s="11"/>
      <c r="G159" s="66" t="s">
        <v>61</v>
      </c>
      <c r="I159" s="21"/>
      <c r="J159" s="19" t="s">
        <v>71</v>
      </c>
    </row>
    <row r="160" spans="1:10" x14ac:dyDescent="0.3">
      <c r="A160" s="3" t="s">
        <v>381</v>
      </c>
      <c r="B160" s="4" t="s">
        <v>342</v>
      </c>
      <c r="E160" t="s">
        <v>382</v>
      </c>
      <c r="F160" s="11"/>
      <c r="G160" s="66" t="s">
        <v>61</v>
      </c>
      <c r="I160" s="21"/>
      <c r="J160" s="19" t="s">
        <v>71</v>
      </c>
    </row>
    <row r="161" spans="1:10" x14ac:dyDescent="0.3">
      <c r="A161" s="3" t="s">
        <v>383</v>
      </c>
      <c r="B161" s="4" t="s">
        <v>342</v>
      </c>
      <c r="E161" t="s">
        <v>384</v>
      </c>
      <c r="F161" s="11"/>
      <c r="G161" s="66" t="s">
        <v>61</v>
      </c>
      <c r="I161" s="21"/>
      <c r="J161" s="19" t="s">
        <v>71</v>
      </c>
    </row>
    <row r="162" spans="1:10" x14ac:dyDescent="0.3">
      <c r="A162" s="3" t="s">
        <v>385</v>
      </c>
      <c r="B162" s="4" t="s">
        <v>342</v>
      </c>
      <c r="E162" t="s">
        <v>386</v>
      </c>
      <c r="F162" s="11"/>
      <c r="G162" s="66" t="s">
        <v>61</v>
      </c>
      <c r="I162" s="21"/>
      <c r="J162" s="19" t="s">
        <v>71</v>
      </c>
    </row>
    <row r="163" spans="1:10" x14ac:dyDescent="0.3">
      <c r="A163" s="3" t="s">
        <v>387</v>
      </c>
      <c r="B163" s="4" t="s">
        <v>342</v>
      </c>
      <c r="E163" t="s">
        <v>388</v>
      </c>
      <c r="F163" s="11"/>
      <c r="G163" s="66" t="s">
        <v>61</v>
      </c>
      <c r="I163" s="21"/>
      <c r="J163" s="19" t="s">
        <v>71</v>
      </c>
    </row>
    <row r="164" spans="1:10" x14ac:dyDescent="0.3">
      <c r="A164" s="3" t="s">
        <v>389</v>
      </c>
      <c r="B164" s="4" t="s">
        <v>342</v>
      </c>
      <c r="E164" t="s">
        <v>390</v>
      </c>
      <c r="F164" s="11"/>
      <c r="G164" s="66" t="s">
        <v>61</v>
      </c>
      <c r="I164" s="21"/>
      <c r="J164" s="19" t="s">
        <v>71</v>
      </c>
    </row>
    <row r="165" spans="1:10" x14ac:dyDescent="0.3">
      <c r="A165" s="3" t="s">
        <v>391</v>
      </c>
      <c r="B165" s="4" t="s">
        <v>342</v>
      </c>
      <c r="E165" t="s">
        <v>392</v>
      </c>
      <c r="F165" s="11"/>
      <c r="G165" s="66" t="s">
        <v>61</v>
      </c>
      <c r="I165" s="21"/>
      <c r="J165" s="19" t="s">
        <v>71</v>
      </c>
    </row>
    <row r="166" spans="1:10" x14ac:dyDescent="0.3">
      <c r="A166" s="3" t="s">
        <v>393</v>
      </c>
      <c r="B166" s="4" t="s">
        <v>342</v>
      </c>
      <c r="E166" t="s">
        <v>394</v>
      </c>
      <c r="F166" s="11"/>
      <c r="G166" s="66" t="s">
        <v>61</v>
      </c>
      <c r="I166" s="21"/>
      <c r="J166" s="19" t="s">
        <v>71</v>
      </c>
    </row>
    <row r="167" spans="1:10" x14ac:dyDescent="0.3">
      <c r="A167" s="3" t="s">
        <v>395</v>
      </c>
      <c r="B167" s="4" t="s">
        <v>342</v>
      </c>
      <c r="E167" t="s">
        <v>396</v>
      </c>
      <c r="F167" s="11"/>
      <c r="G167" s="66" t="s">
        <v>61</v>
      </c>
      <c r="I167" s="11">
        <f>(I79-I80) + I147 + I230</f>
        <v>0.81012924279225107</v>
      </c>
      <c r="J167" s="66" t="s">
        <v>61</v>
      </c>
    </row>
    <row r="168" spans="1:10" s="8" customFormat="1" x14ac:dyDescent="0.3">
      <c r="A168" s="63"/>
      <c r="B168" s="63"/>
      <c r="F168" s="62"/>
    </row>
    <row r="169" spans="1:10" x14ac:dyDescent="0.3">
      <c r="A169" s="3" t="s">
        <v>397</v>
      </c>
      <c r="B169" s="4" t="s">
        <v>398</v>
      </c>
      <c r="E169" t="s">
        <v>399</v>
      </c>
      <c r="F169" s="10"/>
      <c r="G169" s="71" t="s">
        <v>139</v>
      </c>
      <c r="I169" s="73" t="s">
        <v>400</v>
      </c>
      <c r="J169" t="s">
        <v>401</v>
      </c>
    </row>
    <row r="170" spans="1:10" x14ac:dyDescent="0.3">
      <c r="A170" s="3" t="s">
        <v>402</v>
      </c>
      <c r="B170" s="4" t="s">
        <v>398</v>
      </c>
      <c r="E170" t="s">
        <v>403</v>
      </c>
      <c r="F170" s="10" t="s">
        <v>404</v>
      </c>
      <c r="G170" s="9" t="s">
        <v>10</v>
      </c>
      <c r="I170" s="21">
        <f>I174/I172</f>
        <v>185.93563766388559</v>
      </c>
      <c r="J170" t="s">
        <v>401</v>
      </c>
    </row>
    <row r="171" spans="1:10" x14ac:dyDescent="0.3">
      <c r="A171" s="3" t="s">
        <v>405</v>
      </c>
      <c r="B171" s="4" t="s">
        <v>398</v>
      </c>
      <c r="E171" t="s">
        <v>406</v>
      </c>
      <c r="F171" s="10" t="s">
        <v>407</v>
      </c>
      <c r="G171" s="9" t="s">
        <v>10</v>
      </c>
      <c r="I171" s="21"/>
      <c r="J171" t="s">
        <v>139</v>
      </c>
    </row>
    <row r="172" spans="1:10" x14ac:dyDescent="0.3">
      <c r="A172" s="3" t="s">
        <v>408</v>
      </c>
      <c r="B172" s="4" t="s">
        <v>398</v>
      </c>
      <c r="E172" t="s">
        <v>409</v>
      </c>
      <c r="F172" s="11" t="s">
        <v>410</v>
      </c>
      <c r="G172" s="66" t="s">
        <v>61</v>
      </c>
      <c r="I172" s="21">
        <v>1.6779999999999999</v>
      </c>
      <c r="J172" t="s">
        <v>401</v>
      </c>
    </row>
    <row r="173" spans="1:10" x14ac:dyDescent="0.3">
      <c r="A173" s="3" t="s">
        <v>411</v>
      </c>
      <c r="B173" s="4" t="s">
        <v>398</v>
      </c>
      <c r="E173" t="s">
        <v>412</v>
      </c>
      <c r="F173" s="11" t="s">
        <v>413</v>
      </c>
      <c r="G173" s="66" t="s">
        <v>61</v>
      </c>
      <c r="I173" s="21"/>
      <c r="J173" t="s">
        <v>139</v>
      </c>
    </row>
    <row r="174" spans="1:10" x14ac:dyDescent="0.3">
      <c r="A174" s="3" t="s">
        <v>414</v>
      </c>
      <c r="B174" s="4" t="s">
        <v>398</v>
      </c>
      <c r="E174" t="s">
        <v>415</v>
      </c>
      <c r="F174" s="11" t="s">
        <v>416</v>
      </c>
      <c r="G174" s="66" t="s">
        <v>61</v>
      </c>
      <c r="I174" s="21">
        <v>312</v>
      </c>
      <c r="J174" t="s">
        <v>401</v>
      </c>
    </row>
    <row r="175" spans="1:10" x14ac:dyDescent="0.3">
      <c r="A175" s="3" t="s">
        <v>417</v>
      </c>
      <c r="B175" s="4" t="s">
        <v>398</v>
      </c>
      <c r="E175" s="19" t="s">
        <v>418</v>
      </c>
      <c r="F175" s="10"/>
      <c r="G175" s="71" t="s">
        <v>139</v>
      </c>
      <c r="I175" s="21">
        <v>12</v>
      </c>
      <c r="J175" t="s">
        <v>401</v>
      </c>
    </row>
    <row r="176" spans="1:10" x14ac:dyDescent="0.3">
      <c r="A176" s="3" t="s">
        <v>419</v>
      </c>
      <c r="B176" s="4" t="s">
        <v>398</v>
      </c>
      <c r="E176" s="19" t="s">
        <v>420</v>
      </c>
      <c r="F176" s="10"/>
      <c r="G176" s="71" t="s">
        <v>139</v>
      </c>
      <c r="I176" s="21">
        <v>6.5</v>
      </c>
      <c r="J176" t="s">
        <v>401</v>
      </c>
    </row>
    <row r="177" spans="1:10" x14ac:dyDescent="0.3">
      <c r="A177" s="3" t="s">
        <v>421</v>
      </c>
      <c r="B177" s="4" t="s">
        <v>398</v>
      </c>
      <c r="E177" s="19" t="s">
        <v>422</v>
      </c>
      <c r="F177" s="10"/>
      <c r="G177" s="71" t="s">
        <v>139</v>
      </c>
      <c r="I177" s="21">
        <v>0.14399999999999999</v>
      </c>
      <c r="J177" t="s">
        <v>401</v>
      </c>
    </row>
    <row r="178" spans="1:10" x14ac:dyDescent="0.3">
      <c r="A178" s="3" t="s">
        <v>423</v>
      </c>
      <c r="B178" s="4" t="s">
        <v>398</v>
      </c>
      <c r="E178" s="19" t="s">
        <v>424</v>
      </c>
      <c r="F178" s="10"/>
      <c r="G178" s="71" t="s">
        <v>139</v>
      </c>
      <c r="I178" s="21">
        <v>4.7E-2</v>
      </c>
      <c r="J178" t="s">
        <v>401</v>
      </c>
    </row>
    <row r="179" spans="1:10" x14ac:dyDescent="0.3">
      <c r="A179" s="3" t="s">
        <v>425</v>
      </c>
      <c r="B179" s="4" t="s">
        <v>398</v>
      </c>
      <c r="E179" s="19" t="s">
        <v>426</v>
      </c>
      <c r="F179" s="10"/>
      <c r="G179" s="71" t="s">
        <v>139</v>
      </c>
      <c r="I179" s="21">
        <v>0.14099999999999999</v>
      </c>
      <c r="J179" t="s">
        <v>401</v>
      </c>
    </row>
    <row r="180" spans="1:10" x14ac:dyDescent="0.3">
      <c r="A180" s="3" t="s">
        <v>427</v>
      </c>
      <c r="B180" s="4" t="s">
        <v>398</v>
      </c>
      <c r="E180" s="19" t="s">
        <v>428</v>
      </c>
      <c r="F180" s="10"/>
      <c r="G180" s="71" t="s">
        <v>139</v>
      </c>
      <c r="I180" s="21">
        <v>888</v>
      </c>
      <c r="J180" t="s">
        <v>401</v>
      </c>
    </row>
    <row r="181" spans="1:10" s="8" customFormat="1" x14ac:dyDescent="0.3">
      <c r="A181" s="63"/>
      <c r="B181" s="63"/>
      <c r="F181" s="62"/>
    </row>
    <row r="182" spans="1:10" x14ac:dyDescent="0.3">
      <c r="A182" s="3" t="s">
        <v>429</v>
      </c>
      <c r="B182" s="4" t="s">
        <v>430</v>
      </c>
      <c r="E182" s="19" t="s">
        <v>431</v>
      </c>
      <c r="F182" s="10"/>
      <c r="G182" s="71" t="s">
        <v>139</v>
      </c>
      <c r="I182" s="73" t="s">
        <v>432</v>
      </c>
      <c r="J182" t="s">
        <v>401</v>
      </c>
    </row>
    <row r="183" spans="1:10" x14ac:dyDescent="0.3">
      <c r="A183" s="3" t="s">
        <v>433</v>
      </c>
      <c r="B183" s="4" t="s">
        <v>430</v>
      </c>
      <c r="E183" t="s">
        <v>434</v>
      </c>
      <c r="F183" s="10">
        <v>4.3999999999999997E-2</v>
      </c>
      <c r="G183" s="9" t="s">
        <v>10</v>
      </c>
      <c r="I183" s="21">
        <f>I190/I191</f>
        <v>4.2094796155120982E-2</v>
      </c>
      <c r="J183" t="s">
        <v>401</v>
      </c>
    </row>
    <row r="184" spans="1:10" x14ac:dyDescent="0.3">
      <c r="A184" s="3" t="s">
        <v>435</v>
      </c>
      <c r="B184" s="4" t="s">
        <v>430</v>
      </c>
      <c r="E184" t="s">
        <v>436</v>
      </c>
      <c r="F184" s="10" t="s">
        <v>437</v>
      </c>
      <c r="G184" s="9" t="s">
        <v>10</v>
      </c>
      <c r="I184" s="21" t="str">
        <f>F184</f>
        <v>33330</v>
      </c>
      <c r="J184" s="19" t="s">
        <v>10</v>
      </c>
    </row>
    <row r="185" spans="1:10" x14ac:dyDescent="0.3">
      <c r="A185" s="3" t="s">
        <v>438</v>
      </c>
      <c r="B185" s="4" t="s">
        <v>430</v>
      </c>
      <c r="E185" t="s">
        <v>439</v>
      </c>
      <c r="F185" s="10" t="s">
        <v>440</v>
      </c>
      <c r="G185" s="9" t="s">
        <v>10</v>
      </c>
      <c r="I185" s="21">
        <f>I193/I194</f>
        <v>2.9875776397515525</v>
      </c>
      <c r="J185" t="s">
        <v>401</v>
      </c>
    </row>
    <row r="186" spans="1:10" x14ac:dyDescent="0.3">
      <c r="A186" s="3" t="s">
        <v>441</v>
      </c>
      <c r="B186" s="4" t="s">
        <v>430</v>
      </c>
      <c r="E186" t="s">
        <v>442</v>
      </c>
      <c r="F186" s="10" t="s">
        <v>443</v>
      </c>
      <c r="G186" s="9" t="s">
        <v>10</v>
      </c>
      <c r="I186" s="21"/>
      <c r="J186" t="s">
        <v>71</v>
      </c>
    </row>
    <row r="187" spans="1:10" x14ac:dyDescent="0.3">
      <c r="A187" s="3" t="s">
        <v>444</v>
      </c>
      <c r="B187" s="4" t="s">
        <v>430</v>
      </c>
      <c r="E187" t="s">
        <v>445</v>
      </c>
      <c r="F187" s="10">
        <v>30000000</v>
      </c>
      <c r="G187" s="9" t="s">
        <v>10</v>
      </c>
      <c r="I187" s="21">
        <v>30000000</v>
      </c>
      <c r="J187" t="s">
        <v>401</v>
      </c>
    </row>
    <row r="188" spans="1:10" x14ac:dyDescent="0.3">
      <c r="A188" s="3" t="s">
        <v>446</v>
      </c>
      <c r="B188" s="4" t="s">
        <v>430</v>
      </c>
      <c r="E188" t="s">
        <v>447</v>
      </c>
      <c r="F188" s="10" t="s">
        <v>448</v>
      </c>
      <c r="G188" s="9" t="s">
        <v>10</v>
      </c>
      <c r="I188" s="21">
        <v>293</v>
      </c>
      <c r="J188" t="s">
        <v>401</v>
      </c>
    </row>
    <row r="189" spans="1:10" x14ac:dyDescent="0.3">
      <c r="A189" s="3" t="s">
        <v>449</v>
      </c>
      <c r="B189" s="4" t="s">
        <v>430</v>
      </c>
      <c r="E189" t="s">
        <v>450</v>
      </c>
      <c r="F189" s="11" t="s">
        <v>451</v>
      </c>
      <c r="G189" s="66" t="s">
        <v>61</v>
      </c>
      <c r="I189" s="21">
        <v>2115</v>
      </c>
      <c r="J189" t="s">
        <v>401</v>
      </c>
    </row>
    <row r="190" spans="1:10" x14ac:dyDescent="0.3">
      <c r="A190" s="3" t="s">
        <v>452</v>
      </c>
      <c r="B190" s="4" t="s">
        <v>430</v>
      </c>
      <c r="E190" t="s">
        <v>453</v>
      </c>
      <c r="F190" s="11" t="s">
        <v>454</v>
      </c>
      <c r="G190" s="66" t="s">
        <v>61</v>
      </c>
      <c r="I190" s="21">
        <v>0.127</v>
      </c>
      <c r="J190" t="s">
        <v>401</v>
      </c>
    </row>
    <row r="191" spans="1:10" x14ac:dyDescent="0.3">
      <c r="A191" s="3" t="s">
        <v>455</v>
      </c>
      <c r="B191" s="4" t="s">
        <v>430</v>
      </c>
      <c r="E191" t="s">
        <v>456</v>
      </c>
      <c r="F191" s="11" t="s">
        <v>457</v>
      </c>
      <c r="G191" s="66" t="s">
        <v>61</v>
      </c>
      <c r="I191" s="21">
        <v>3.0169999999999999</v>
      </c>
      <c r="J191" t="s">
        <v>401</v>
      </c>
    </row>
    <row r="192" spans="1:10" x14ac:dyDescent="0.3">
      <c r="A192" s="3" t="s">
        <v>458</v>
      </c>
      <c r="B192" s="4" t="s">
        <v>430</v>
      </c>
      <c r="E192" t="s">
        <v>459</v>
      </c>
      <c r="F192" s="11" t="s">
        <v>460</v>
      </c>
      <c r="G192" s="66" t="s">
        <v>61</v>
      </c>
      <c r="I192" s="21">
        <v>6</v>
      </c>
      <c r="J192" t="s">
        <v>401</v>
      </c>
    </row>
    <row r="193" spans="1:10" x14ac:dyDescent="0.3">
      <c r="A193" s="3" t="s">
        <v>461</v>
      </c>
      <c r="B193" s="4" t="s">
        <v>430</v>
      </c>
      <c r="E193" t="s">
        <v>349</v>
      </c>
      <c r="F193" s="11" t="s">
        <v>350</v>
      </c>
      <c r="G193" s="66" t="s">
        <v>61</v>
      </c>
      <c r="I193" s="21">
        <v>0.48099999999999998</v>
      </c>
      <c r="J193" t="s">
        <v>401</v>
      </c>
    </row>
    <row r="194" spans="1:10" x14ac:dyDescent="0.3">
      <c r="A194" s="3" t="s">
        <v>462</v>
      </c>
      <c r="B194" s="4" t="s">
        <v>430</v>
      </c>
      <c r="E194" t="s">
        <v>463</v>
      </c>
      <c r="F194" s="11" t="s">
        <v>464</v>
      </c>
      <c r="G194" s="66" t="s">
        <v>61</v>
      </c>
      <c r="I194" s="21">
        <v>0.161</v>
      </c>
      <c r="J194" t="s">
        <v>401</v>
      </c>
    </row>
    <row r="195" spans="1:10" x14ac:dyDescent="0.3">
      <c r="A195" s="3" t="s">
        <v>465</v>
      </c>
      <c r="B195" s="4" t="s">
        <v>430</v>
      </c>
      <c r="E195" s="19" t="s">
        <v>466</v>
      </c>
      <c r="F195" s="10"/>
      <c r="G195" s="71" t="s">
        <v>139</v>
      </c>
      <c r="I195" s="21">
        <v>3479.15</v>
      </c>
      <c r="J195" t="s">
        <v>401</v>
      </c>
    </row>
    <row r="196" spans="1:10" s="8" customFormat="1" x14ac:dyDescent="0.3">
      <c r="A196" s="63"/>
      <c r="B196" s="63"/>
      <c r="F196" s="62"/>
    </row>
    <row r="197" spans="1:10" x14ac:dyDescent="0.3">
      <c r="A197" s="3" t="s">
        <v>467</v>
      </c>
      <c r="B197" s="4" t="s">
        <v>468</v>
      </c>
      <c r="E197" s="19" t="s">
        <v>469</v>
      </c>
      <c r="F197" s="10"/>
      <c r="G197" s="71" t="s">
        <v>139</v>
      </c>
      <c r="I197" s="73" t="s">
        <v>470</v>
      </c>
      <c r="J197" t="s">
        <v>401</v>
      </c>
    </row>
    <row r="198" spans="1:10" x14ac:dyDescent="0.3">
      <c r="A198" s="3" t="s">
        <v>471</v>
      </c>
      <c r="B198" s="4" t="s">
        <v>468</v>
      </c>
      <c r="E198" t="s">
        <v>472</v>
      </c>
      <c r="F198" s="10" t="s">
        <v>473</v>
      </c>
      <c r="G198" s="9" t="s">
        <v>10</v>
      </c>
      <c r="I198" s="21">
        <v>0.5</v>
      </c>
      <c r="J198" t="s">
        <v>401</v>
      </c>
    </row>
    <row r="199" spans="1:10" x14ac:dyDescent="0.3">
      <c r="A199" s="3" t="s">
        <v>474</v>
      </c>
      <c r="B199" s="4" t="s">
        <v>468</v>
      </c>
      <c r="E199" t="s">
        <v>475</v>
      </c>
      <c r="F199" s="10">
        <v>650</v>
      </c>
      <c r="G199" s="9" t="s">
        <v>10</v>
      </c>
      <c r="I199" s="21">
        <v>645</v>
      </c>
      <c r="J199" t="s">
        <v>401</v>
      </c>
    </row>
    <row r="200" spans="1:10" x14ac:dyDescent="0.3">
      <c r="A200" s="3" t="s">
        <v>476</v>
      </c>
      <c r="B200" s="4" t="s">
        <v>468</v>
      </c>
      <c r="E200" t="s">
        <v>477</v>
      </c>
      <c r="F200" s="11" t="s">
        <v>478</v>
      </c>
      <c r="G200" s="66" t="s">
        <v>61</v>
      </c>
      <c r="I200" s="21">
        <v>800</v>
      </c>
      <c r="J200" t="s">
        <v>401</v>
      </c>
    </row>
    <row r="201" spans="1:10" x14ac:dyDescent="0.3">
      <c r="A201" s="3" t="s">
        <v>479</v>
      </c>
      <c r="B201" s="4" t="s">
        <v>468</v>
      </c>
      <c r="E201" t="s">
        <v>480</v>
      </c>
      <c r="F201" s="11" t="s">
        <v>481</v>
      </c>
      <c r="G201" s="66" t="s">
        <v>61</v>
      </c>
      <c r="I201" s="21">
        <v>2.33</v>
      </c>
      <c r="J201" t="s">
        <v>401</v>
      </c>
    </row>
    <row r="202" spans="1:10" x14ac:dyDescent="0.3">
      <c r="A202" s="3" t="s">
        <v>482</v>
      </c>
      <c r="B202" s="4" t="s">
        <v>468</v>
      </c>
      <c r="E202" t="s">
        <v>483</v>
      </c>
      <c r="F202" s="10">
        <v>1000</v>
      </c>
      <c r="G202" s="9" t="s">
        <v>10</v>
      </c>
      <c r="I202" s="21">
        <v>1000</v>
      </c>
      <c r="J202" t="s">
        <v>401</v>
      </c>
    </row>
    <row r="203" spans="1:10" x14ac:dyDescent="0.3">
      <c r="A203" s="3" t="s">
        <v>484</v>
      </c>
      <c r="B203" s="4" t="s">
        <v>468</v>
      </c>
      <c r="E203" s="19" t="s">
        <v>485</v>
      </c>
      <c r="F203" s="10"/>
      <c r="G203" s="71" t="s">
        <v>139</v>
      </c>
      <c r="I203" s="21">
        <v>16451.060000000001</v>
      </c>
      <c r="J203" t="s">
        <v>401</v>
      </c>
    </row>
    <row r="204" spans="1:10" x14ac:dyDescent="0.3">
      <c r="A204" s="3" t="s">
        <v>486</v>
      </c>
      <c r="B204" s="4" t="s">
        <v>468</v>
      </c>
      <c r="E204" s="19" t="s">
        <v>487</v>
      </c>
      <c r="F204" s="10"/>
      <c r="G204" s="71" t="s">
        <v>139</v>
      </c>
      <c r="I204" s="21">
        <v>0.1255</v>
      </c>
      <c r="J204" t="s">
        <v>401</v>
      </c>
    </row>
    <row r="205" spans="1:10" x14ac:dyDescent="0.3">
      <c r="A205" s="3" t="s">
        <v>488</v>
      </c>
      <c r="B205" s="4" t="s">
        <v>468</v>
      </c>
      <c r="E205" s="19" t="s">
        <v>489</v>
      </c>
      <c r="F205" s="10"/>
      <c r="G205" s="71" t="s">
        <v>139</v>
      </c>
      <c r="I205" s="21">
        <v>0.15140000000000001</v>
      </c>
      <c r="J205" t="s">
        <v>401</v>
      </c>
    </row>
    <row r="206" spans="1:10" x14ac:dyDescent="0.3">
      <c r="A206" s="3" t="s">
        <v>490</v>
      </c>
      <c r="B206" s="4" t="s">
        <v>468</v>
      </c>
      <c r="E206" s="19" t="s">
        <v>491</v>
      </c>
      <c r="F206" s="10"/>
      <c r="G206" s="71" t="s">
        <v>139</v>
      </c>
      <c r="I206" s="21">
        <v>0.20300000000000001</v>
      </c>
      <c r="J206" t="s">
        <v>401</v>
      </c>
    </row>
    <row r="207" spans="1:10" s="8" customFormat="1" x14ac:dyDescent="0.3">
      <c r="A207" s="63"/>
      <c r="B207" s="63"/>
      <c r="F207" s="62"/>
    </row>
    <row r="208" spans="1:10" x14ac:dyDescent="0.3">
      <c r="A208" s="3" t="s">
        <v>492</v>
      </c>
      <c r="B208" s="4" t="s">
        <v>493</v>
      </c>
      <c r="E208" t="s">
        <v>494</v>
      </c>
      <c r="F208" s="10"/>
      <c r="G208" s="71" t="s">
        <v>139</v>
      </c>
      <c r="I208" s="73" t="s">
        <v>495</v>
      </c>
      <c r="J208" t="s">
        <v>401</v>
      </c>
    </row>
    <row r="209" spans="1:10" x14ac:dyDescent="0.3">
      <c r="A209" s="3" t="s">
        <v>496</v>
      </c>
      <c r="B209" s="4" t="s">
        <v>493</v>
      </c>
      <c r="E209" t="s">
        <v>497</v>
      </c>
      <c r="F209" s="11" t="s">
        <v>498</v>
      </c>
      <c r="G209" s="66" t="s">
        <v>61</v>
      </c>
      <c r="I209" s="21">
        <v>0.39200000000000002</v>
      </c>
      <c r="J209" t="s">
        <v>401</v>
      </c>
    </row>
    <row r="210" spans="1:10" x14ac:dyDescent="0.3">
      <c r="A210" s="3" t="s">
        <v>499</v>
      </c>
      <c r="B210" s="4" t="s">
        <v>493</v>
      </c>
      <c r="E210" t="s">
        <v>500</v>
      </c>
      <c r="F210" s="10">
        <v>0.9</v>
      </c>
      <c r="G210" s="9" t="s">
        <v>10</v>
      </c>
      <c r="I210" s="21"/>
      <c r="J210" t="s">
        <v>71</v>
      </c>
    </row>
    <row r="211" spans="1:10" x14ac:dyDescent="0.3">
      <c r="A211" s="3" t="s">
        <v>501</v>
      </c>
      <c r="B211" s="4" t="s">
        <v>493</v>
      </c>
      <c r="E211" t="s">
        <v>502</v>
      </c>
      <c r="F211" s="10">
        <v>3000</v>
      </c>
      <c r="G211" s="9" t="s">
        <v>10</v>
      </c>
      <c r="I211" s="21">
        <f>I212/I209</f>
        <v>5357.1428571428569</v>
      </c>
      <c r="J211" t="s">
        <v>401</v>
      </c>
    </row>
    <row r="212" spans="1:10" x14ac:dyDescent="0.3">
      <c r="A212" s="3" t="s">
        <v>503</v>
      </c>
      <c r="B212" s="4" t="s">
        <v>493</v>
      </c>
      <c r="E212" t="s">
        <v>504</v>
      </c>
      <c r="F212" s="11" t="s">
        <v>505</v>
      </c>
      <c r="G212" s="66" t="s">
        <v>61</v>
      </c>
      <c r="I212" s="21">
        <v>2100</v>
      </c>
      <c r="J212" t="s">
        <v>401</v>
      </c>
    </row>
    <row r="213" spans="1:10" x14ac:dyDescent="0.3">
      <c r="A213" s="3" t="s">
        <v>506</v>
      </c>
      <c r="B213" s="4" t="s">
        <v>493</v>
      </c>
      <c r="E213" s="19" t="s">
        <v>507</v>
      </c>
      <c r="F213" s="10"/>
      <c r="G213" s="71" t="s">
        <v>139</v>
      </c>
      <c r="I213" s="21">
        <v>100</v>
      </c>
      <c r="J213" t="s">
        <v>401</v>
      </c>
    </row>
    <row r="214" spans="1:10" x14ac:dyDescent="0.3">
      <c r="A214" s="3" t="s">
        <v>508</v>
      </c>
      <c r="B214" s="4" t="s">
        <v>493</v>
      </c>
      <c r="E214" s="19" t="s">
        <v>509</v>
      </c>
      <c r="F214" s="10"/>
      <c r="G214" s="71" t="s">
        <v>139</v>
      </c>
      <c r="I214" s="21">
        <v>1.4</v>
      </c>
      <c r="J214" t="s">
        <v>401</v>
      </c>
    </row>
    <row r="215" spans="1:10" x14ac:dyDescent="0.3">
      <c r="A215" s="3" t="s">
        <v>510</v>
      </c>
      <c r="B215" s="4" t="s">
        <v>493</v>
      </c>
      <c r="E215" s="19" t="s">
        <v>511</v>
      </c>
      <c r="F215" s="10"/>
      <c r="G215" s="71" t="s">
        <v>139</v>
      </c>
      <c r="I215" s="21">
        <v>6.5000000000000002E-2</v>
      </c>
      <c r="J215" t="s">
        <v>401</v>
      </c>
    </row>
    <row r="216" spans="1:10" x14ac:dyDescent="0.3">
      <c r="A216" s="3" t="s">
        <v>512</v>
      </c>
      <c r="B216" s="4" t="s">
        <v>493</v>
      </c>
      <c r="E216" s="19" t="s">
        <v>513</v>
      </c>
      <c r="F216" s="10"/>
      <c r="G216" s="71" t="s">
        <v>139</v>
      </c>
      <c r="I216" s="21">
        <v>279.89999999999998</v>
      </c>
      <c r="J216" t="s">
        <v>401</v>
      </c>
    </row>
    <row r="217" spans="1:10" s="8" customFormat="1" x14ac:dyDescent="0.3">
      <c r="A217" s="63"/>
      <c r="B217" s="63"/>
      <c r="F217" s="62"/>
    </row>
    <row r="218" spans="1:10" x14ac:dyDescent="0.3">
      <c r="A218" s="3" t="s">
        <v>514</v>
      </c>
      <c r="B218" s="4" t="s">
        <v>515</v>
      </c>
      <c r="E218" t="s">
        <v>516</v>
      </c>
      <c r="F218" s="10"/>
      <c r="G218" s="71" t="s">
        <v>139</v>
      </c>
      <c r="I218" s="73" t="s">
        <v>517</v>
      </c>
      <c r="J218" t="s">
        <v>401</v>
      </c>
    </row>
    <row r="219" spans="1:10" x14ac:dyDescent="0.3">
      <c r="A219" s="3" t="s">
        <v>518</v>
      </c>
      <c r="B219" s="4" t="s">
        <v>515</v>
      </c>
      <c r="E219" t="s">
        <v>519</v>
      </c>
      <c r="F219" s="11" t="s">
        <v>520</v>
      </c>
      <c r="G219" s="66" t="s">
        <v>61</v>
      </c>
      <c r="I219" s="21">
        <v>0.6</v>
      </c>
      <c r="J219" t="s">
        <v>401</v>
      </c>
    </row>
    <row r="220" spans="1:10" x14ac:dyDescent="0.3">
      <c r="A220" s="3" t="s">
        <v>521</v>
      </c>
      <c r="B220" s="4" t="s">
        <v>515</v>
      </c>
      <c r="E220" t="s">
        <v>522</v>
      </c>
      <c r="F220" s="10">
        <v>0.9</v>
      </c>
      <c r="G220" s="9" t="s">
        <v>10</v>
      </c>
      <c r="I220" s="21"/>
      <c r="J220" t="s">
        <v>71</v>
      </c>
    </row>
    <row r="221" spans="1:10" x14ac:dyDescent="0.3">
      <c r="A221" s="3" t="s">
        <v>523</v>
      </c>
      <c r="B221" s="4" t="s">
        <v>515</v>
      </c>
      <c r="E221" t="s">
        <v>524</v>
      </c>
      <c r="F221" s="10">
        <v>3000</v>
      </c>
      <c r="G221" s="9" t="s">
        <v>10</v>
      </c>
      <c r="I221" s="21">
        <f>I222/I219</f>
        <v>3750</v>
      </c>
      <c r="J221" t="s">
        <v>401</v>
      </c>
    </row>
    <row r="222" spans="1:10" x14ac:dyDescent="0.3">
      <c r="A222" s="3" t="s">
        <v>525</v>
      </c>
      <c r="B222" s="4" t="s">
        <v>515</v>
      </c>
      <c r="E222" t="s">
        <v>526</v>
      </c>
      <c r="F222" s="11" t="s">
        <v>527</v>
      </c>
      <c r="G222" s="66" t="s">
        <v>61</v>
      </c>
      <c r="I222" s="21">
        <v>2250</v>
      </c>
      <c r="J222" t="s">
        <v>401</v>
      </c>
    </row>
    <row r="223" spans="1:10" x14ac:dyDescent="0.3">
      <c r="A223" s="3" t="s">
        <v>528</v>
      </c>
      <c r="B223" s="4" t="s">
        <v>515</v>
      </c>
      <c r="E223" s="19" t="s">
        <v>529</v>
      </c>
      <c r="F223" s="10"/>
      <c r="G223" s="71" t="s">
        <v>139</v>
      </c>
      <c r="I223" s="21">
        <v>220</v>
      </c>
      <c r="J223" t="s">
        <v>401</v>
      </c>
    </row>
    <row r="224" spans="1:10" x14ac:dyDescent="0.3">
      <c r="A224" s="3" t="s">
        <v>530</v>
      </c>
      <c r="B224" s="4" t="s">
        <v>515</v>
      </c>
      <c r="E224" s="19" t="s">
        <v>531</v>
      </c>
      <c r="F224" s="10"/>
      <c r="G224" s="71" t="s">
        <v>139</v>
      </c>
      <c r="I224" s="21">
        <v>1.8</v>
      </c>
      <c r="J224" t="s">
        <v>401</v>
      </c>
    </row>
    <row r="225" spans="1:10" x14ac:dyDescent="0.3">
      <c r="A225" s="3" t="s">
        <v>532</v>
      </c>
      <c r="B225" s="4" t="s">
        <v>515</v>
      </c>
      <c r="E225" s="19" t="s">
        <v>533</v>
      </c>
      <c r="F225" s="10"/>
      <c r="G225" s="71" t="s">
        <v>139</v>
      </c>
      <c r="I225" s="21">
        <v>1.0999999999999999E-2</v>
      </c>
      <c r="J225" t="s">
        <v>401</v>
      </c>
    </row>
    <row r="226" spans="1:10" x14ac:dyDescent="0.3">
      <c r="A226" s="3" t="s">
        <v>534</v>
      </c>
      <c r="B226" s="4" t="s">
        <v>515</v>
      </c>
      <c r="E226" s="19" t="s">
        <v>535</v>
      </c>
      <c r="F226" s="10"/>
      <c r="G226" s="71" t="s">
        <v>139</v>
      </c>
      <c r="I226" s="21">
        <v>159</v>
      </c>
      <c r="J226" t="s">
        <v>401</v>
      </c>
    </row>
    <row r="227" spans="1:10" s="8" customFormat="1" x14ac:dyDescent="0.3">
      <c r="A227" s="63"/>
      <c r="B227" s="63"/>
      <c r="F227" s="62"/>
    </row>
    <row r="228" spans="1:10" x14ac:dyDescent="0.3">
      <c r="A228" s="3" t="s">
        <v>536</v>
      </c>
      <c r="B228" s="4" t="s">
        <v>537</v>
      </c>
      <c r="E228" s="19" t="s">
        <v>538</v>
      </c>
      <c r="F228" s="10"/>
      <c r="G228" s="71" t="s">
        <v>139</v>
      </c>
      <c r="I228" s="73" t="s">
        <v>539</v>
      </c>
      <c r="J228" t="s">
        <v>401</v>
      </c>
    </row>
    <row r="229" spans="1:10" x14ac:dyDescent="0.3">
      <c r="A229" s="3" t="s">
        <v>540</v>
      </c>
      <c r="B229" s="4" t="s">
        <v>537</v>
      </c>
      <c r="E229" t="s">
        <v>541</v>
      </c>
      <c r="F229" s="10" t="s">
        <v>542</v>
      </c>
      <c r="G229" s="9" t="s">
        <v>10</v>
      </c>
      <c r="I229" s="21">
        <v>4</v>
      </c>
      <c r="J229" t="s">
        <v>10</v>
      </c>
    </row>
    <row r="230" spans="1:10" x14ac:dyDescent="0.3">
      <c r="A230" s="3" t="s">
        <v>543</v>
      </c>
      <c r="B230" s="4" t="s">
        <v>537</v>
      </c>
      <c r="E230" t="s">
        <v>544</v>
      </c>
      <c r="F230" s="12" t="s">
        <v>545</v>
      </c>
      <c r="G230" s="65" t="s">
        <v>36</v>
      </c>
      <c r="I230" s="21">
        <v>0.36830000000000002</v>
      </c>
      <c r="J230" t="s">
        <v>401</v>
      </c>
    </row>
    <row r="231" spans="1:10" x14ac:dyDescent="0.3">
      <c r="A231" s="3" t="s">
        <v>546</v>
      </c>
      <c r="B231" s="4" t="s">
        <v>537</v>
      </c>
      <c r="E231" t="s">
        <v>547</v>
      </c>
      <c r="F231" s="10" t="s">
        <v>548</v>
      </c>
      <c r="G231" s="9" t="s">
        <v>10</v>
      </c>
      <c r="I231" s="21" t="str">
        <f>F231</f>
        <v>[0.0508, 0.3683]</v>
      </c>
      <c r="J231" t="s">
        <v>10</v>
      </c>
    </row>
    <row r="232" spans="1:10" x14ac:dyDescent="0.3">
      <c r="A232" s="3" t="s">
        <v>549</v>
      </c>
      <c r="B232" s="4" t="s">
        <v>537</v>
      </c>
      <c r="E232" t="s">
        <v>550</v>
      </c>
      <c r="F232" s="10">
        <v>0.75</v>
      </c>
      <c r="G232" s="9" t="s">
        <v>10</v>
      </c>
      <c r="I232" s="21"/>
      <c r="J232" t="s">
        <v>71</v>
      </c>
    </row>
    <row r="233" spans="1:10" x14ac:dyDescent="0.3">
      <c r="A233" s="3" t="s">
        <v>551</v>
      </c>
      <c r="B233" s="4" t="s">
        <v>537</v>
      </c>
      <c r="E233" t="s">
        <v>552</v>
      </c>
      <c r="F233" s="10">
        <v>0</v>
      </c>
      <c r="G233" s="9" t="s">
        <v>10</v>
      </c>
      <c r="I233" s="21">
        <v>0.104</v>
      </c>
      <c r="J233" t="s">
        <v>401</v>
      </c>
    </row>
    <row r="234" spans="1:10" x14ac:dyDescent="0.3">
      <c r="A234" s="3" t="s">
        <v>553</v>
      </c>
      <c r="B234" s="4" t="s">
        <v>537</v>
      </c>
      <c r="E234" s="19" t="s">
        <v>554</v>
      </c>
      <c r="F234" s="10"/>
      <c r="G234" s="71" t="s">
        <v>139</v>
      </c>
      <c r="I234" s="21">
        <v>135.44999999999999</v>
      </c>
      <c r="J234" t="s">
        <v>401</v>
      </c>
    </row>
    <row r="235" spans="1:10" s="8" customFormat="1" x14ac:dyDescent="0.3">
      <c r="A235" s="63"/>
      <c r="B235" s="63"/>
      <c r="F235" s="62"/>
    </row>
    <row r="236" spans="1:10" x14ac:dyDescent="0.3">
      <c r="A236" s="3" t="s">
        <v>555</v>
      </c>
      <c r="B236" s="4" t="s">
        <v>556</v>
      </c>
      <c r="E236" s="19" t="s">
        <v>557</v>
      </c>
      <c r="F236" s="10"/>
      <c r="G236" s="71" t="s">
        <v>139</v>
      </c>
      <c r="I236" s="73" t="s">
        <v>558</v>
      </c>
      <c r="J236" t="s">
        <v>401</v>
      </c>
    </row>
    <row r="237" spans="1:10" x14ac:dyDescent="0.3">
      <c r="A237" s="3" t="s">
        <v>559</v>
      </c>
      <c r="B237" s="4" t="s">
        <v>556</v>
      </c>
      <c r="E237" t="s">
        <v>560</v>
      </c>
      <c r="F237" s="10" t="s">
        <v>18</v>
      </c>
      <c r="G237" s="9" t="s">
        <v>10</v>
      </c>
      <c r="I237" s="21">
        <v>1</v>
      </c>
      <c r="J237" t="s">
        <v>401</v>
      </c>
    </row>
    <row r="238" spans="1:10" x14ac:dyDescent="0.3">
      <c r="A238" s="3" t="s">
        <v>561</v>
      </c>
      <c r="B238" s="4" t="s">
        <v>556</v>
      </c>
      <c r="E238" t="s">
        <v>562</v>
      </c>
      <c r="F238" s="12" t="s">
        <v>563</v>
      </c>
      <c r="G238" s="65" t="s">
        <v>36</v>
      </c>
      <c r="I238" s="21">
        <v>0.2286</v>
      </c>
      <c r="J238" t="s">
        <v>401</v>
      </c>
    </row>
    <row r="239" spans="1:10" x14ac:dyDescent="0.3">
      <c r="A239" s="3" t="s">
        <v>564</v>
      </c>
      <c r="B239" s="4" t="s">
        <v>556</v>
      </c>
      <c r="E239" t="s">
        <v>565</v>
      </c>
      <c r="F239" s="10" t="s">
        <v>566</v>
      </c>
      <c r="G239" s="9" t="s">
        <v>10</v>
      </c>
      <c r="I239" s="21" t="str">
        <f>F239</f>
        <v>[0.0508, 0.2413]</v>
      </c>
      <c r="J239" s="19" t="s">
        <v>10</v>
      </c>
    </row>
    <row r="240" spans="1:10" x14ac:dyDescent="0.3">
      <c r="A240" s="3" t="s">
        <v>567</v>
      </c>
      <c r="B240" s="4" t="s">
        <v>556</v>
      </c>
      <c r="E240" t="s">
        <v>568</v>
      </c>
      <c r="F240" s="10">
        <v>0.8</v>
      </c>
      <c r="G240" s="9" t="s">
        <v>10</v>
      </c>
      <c r="I240" s="21"/>
      <c r="J240" t="s">
        <v>71</v>
      </c>
    </row>
    <row r="241" spans="1:10" x14ac:dyDescent="0.3">
      <c r="A241" s="3" t="s">
        <v>569</v>
      </c>
      <c r="B241" s="4" t="s">
        <v>556</v>
      </c>
      <c r="E241" t="s">
        <v>570</v>
      </c>
      <c r="F241" s="10" t="s">
        <v>231</v>
      </c>
      <c r="G241" s="9" t="s">
        <v>10</v>
      </c>
      <c r="I241" s="21" t="str">
        <f>F241</f>
        <v>2</v>
      </c>
      <c r="J241" s="19" t="s">
        <v>10</v>
      </c>
    </row>
    <row r="242" spans="1:10" x14ac:dyDescent="0.3">
      <c r="A242" s="3" t="s">
        <v>571</v>
      </c>
      <c r="B242" s="4" t="s">
        <v>556</v>
      </c>
      <c r="E242" t="s">
        <v>572</v>
      </c>
      <c r="F242" s="11"/>
      <c r="G242" s="66" t="s">
        <v>61</v>
      </c>
      <c r="I242" s="21"/>
      <c r="J242" s="19" t="s">
        <v>71</v>
      </c>
    </row>
    <row r="243" spans="1:10" x14ac:dyDescent="0.3">
      <c r="A243" s="3" t="s">
        <v>573</v>
      </c>
      <c r="B243" s="4" t="s">
        <v>556</v>
      </c>
      <c r="E243" t="s">
        <v>574</v>
      </c>
      <c r="F243" s="10" t="s">
        <v>242</v>
      </c>
      <c r="G243" s="9" t="s">
        <v>10</v>
      </c>
      <c r="I243" s="21"/>
      <c r="J243" s="19" t="s">
        <v>71</v>
      </c>
    </row>
    <row r="244" spans="1:10" x14ac:dyDescent="0.3">
      <c r="A244" s="3" t="s">
        <v>575</v>
      </c>
      <c r="B244" s="4" t="s">
        <v>556</v>
      </c>
      <c r="E244" t="s">
        <v>576</v>
      </c>
      <c r="F244" s="10" t="s">
        <v>242</v>
      </c>
      <c r="G244" s="9" t="s">
        <v>10</v>
      </c>
      <c r="I244" s="21"/>
      <c r="J244" s="19" t="s">
        <v>71</v>
      </c>
    </row>
    <row r="245" spans="1:10" x14ac:dyDescent="0.3">
      <c r="A245" s="3" t="s">
        <v>577</v>
      </c>
      <c r="B245" s="4" t="s">
        <v>556</v>
      </c>
      <c r="E245" t="s">
        <v>578</v>
      </c>
      <c r="F245" s="10" t="s">
        <v>242</v>
      </c>
      <c r="G245" s="9" t="s">
        <v>10</v>
      </c>
      <c r="I245" s="21"/>
      <c r="J245" s="19" t="s">
        <v>71</v>
      </c>
    </row>
    <row r="246" spans="1:10" x14ac:dyDescent="0.3">
      <c r="A246" s="3" t="s">
        <v>579</v>
      </c>
      <c r="B246" s="4" t="s">
        <v>556</v>
      </c>
      <c r="E246" t="s">
        <v>580</v>
      </c>
      <c r="F246" s="10" t="s">
        <v>289</v>
      </c>
      <c r="G246" s="9" t="s">
        <v>10</v>
      </c>
      <c r="I246" s="21"/>
      <c r="J246" s="19" t="s">
        <v>71</v>
      </c>
    </row>
    <row r="247" spans="1:10" x14ac:dyDescent="0.3">
      <c r="A247" s="3" t="s">
        <v>581</v>
      </c>
      <c r="B247" s="4" t="s">
        <v>556</v>
      </c>
      <c r="E247" t="s">
        <v>582</v>
      </c>
      <c r="F247" s="10">
        <v>0</v>
      </c>
      <c r="G247" s="9" t="s">
        <v>10</v>
      </c>
      <c r="I247" s="21">
        <v>7.1999999999999995E-2</v>
      </c>
      <c r="J247" t="s">
        <v>401</v>
      </c>
    </row>
    <row r="248" spans="1:10" x14ac:dyDescent="0.3">
      <c r="A248" s="3" t="s">
        <v>583</v>
      </c>
      <c r="B248" s="4" t="s">
        <v>556</v>
      </c>
      <c r="E248" s="19" t="s">
        <v>584</v>
      </c>
      <c r="F248" s="10"/>
      <c r="G248" s="9" t="s">
        <v>139</v>
      </c>
      <c r="I248" s="21">
        <v>78.900000000000006</v>
      </c>
      <c r="J248" t="s">
        <v>401</v>
      </c>
    </row>
    <row r="249" spans="1:10" s="8" customFormat="1" x14ac:dyDescent="0.3">
      <c r="A249" s="63"/>
      <c r="B249" s="63"/>
      <c r="F249" s="62"/>
    </row>
    <row r="250" spans="1:10" x14ac:dyDescent="0.3">
      <c r="A250" s="3" t="s">
        <v>585</v>
      </c>
      <c r="B250" s="4" t="s">
        <v>586</v>
      </c>
      <c r="E250" t="s">
        <v>587</v>
      </c>
      <c r="F250" s="10" t="s">
        <v>231</v>
      </c>
      <c r="G250" s="9" t="s">
        <v>10</v>
      </c>
      <c r="I250" s="21" t="str">
        <f>F250</f>
        <v>2</v>
      </c>
      <c r="J250" s="19" t="s">
        <v>10</v>
      </c>
    </row>
    <row r="251" spans="1:10" x14ac:dyDescent="0.3">
      <c r="A251" s="3" t="s">
        <v>588</v>
      </c>
      <c r="B251" s="4" t="s">
        <v>586</v>
      </c>
      <c r="E251" t="s">
        <v>589</v>
      </c>
      <c r="F251" s="10" t="s">
        <v>289</v>
      </c>
      <c r="G251" s="9" t="s">
        <v>10</v>
      </c>
      <c r="I251" s="21"/>
      <c r="J251" s="19" t="s">
        <v>71</v>
      </c>
    </row>
    <row r="252" spans="1:10" x14ac:dyDescent="0.3">
      <c r="A252" s="3" t="s">
        <v>590</v>
      </c>
      <c r="B252" s="4" t="s">
        <v>586</v>
      </c>
      <c r="E252" t="s">
        <v>591</v>
      </c>
      <c r="F252" s="10" t="s">
        <v>592</v>
      </c>
      <c r="G252" s="9" t="s">
        <v>10</v>
      </c>
      <c r="I252" s="21"/>
      <c r="J252" s="19" t="s">
        <v>71</v>
      </c>
    </row>
    <row r="253" spans="1:10" x14ac:dyDescent="0.3">
      <c r="A253" s="3" t="s">
        <v>593</v>
      </c>
      <c r="B253" s="4" t="s">
        <v>586</v>
      </c>
      <c r="E253" t="s">
        <v>594</v>
      </c>
      <c r="F253" s="10" t="s">
        <v>242</v>
      </c>
      <c r="G253" s="9" t="s">
        <v>10</v>
      </c>
      <c r="I253" s="21"/>
      <c r="J253" s="19" t="s">
        <v>71</v>
      </c>
    </row>
    <row r="254" spans="1:10" x14ac:dyDescent="0.3">
      <c r="A254" s="3" t="s">
        <v>595</v>
      </c>
      <c r="B254" s="4" t="s">
        <v>586</v>
      </c>
      <c r="E254" t="s">
        <v>596</v>
      </c>
      <c r="F254" s="10" t="s">
        <v>597</v>
      </c>
      <c r="G254" s="9" t="s">
        <v>10</v>
      </c>
      <c r="I254" s="21"/>
      <c r="J254" s="19" t="s">
        <v>71</v>
      </c>
    </row>
    <row r="255" spans="1:10" x14ac:dyDescent="0.3">
      <c r="A255" s="3" t="s">
        <v>598</v>
      </c>
      <c r="B255" s="4" t="s">
        <v>586</v>
      </c>
      <c r="E255" t="s">
        <v>599</v>
      </c>
      <c r="F255" s="11"/>
      <c r="G255" s="66" t="s">
        <v>61</v>
      </c>
      <c r="I255" s="11">
        <f>-(I167 - (I80 + I82))</f>
        <v>-0.65068938266756693</v>
      </c>
      <c r="J255" s="66" t="s">
        <v>61</v>
      </c>
    </row>
    <row r="256" spans="1:10" x14ac:dyDescent="0.3">
      <c r="A256" s="3" t="s">
        <v>600</v>
      </c>
      <c r="B256" s="4" t="s">
        <v>586</v>
      </c>
      <c r="E256" t="s">
        <v>601</v>
      </c>
      <c r="F256" s="11"/>
      <c r="G256" s="66" t="s">
        <v>61</v>
      </c>
      <c r="I256" s="11">
        <f>I238 + I230+ I147</f>
        <v>0.6169</v>
      </c>
      <c r="J256" s="66" t="s">
        <v>61</v>
      </c>
    </row>
    <row r="257" spans="1:10" s="8" customFormat="1" x14ac:dyDescent="0.3">
      <c r="A257" s="63"/>
      <c r="B257" s="63"/>
      <c r="F257" s="62"/>
    </row>
    <row r="258" spans="1:10" x14ac:dyDescent="0.3">
      <c r="A258" s="3" t="s">
        <v>602</v>
      </c>
      <c r="B258" s="4" t="s">
        <v>603</v>
      </c>
      <c r="E258" t="s">
        <v>604</v>
      </c>
      <c r="F258" s="10" t="s">
        <v>231</v>
      </c>
      <c r="G258" s="9" t="s">
        <v>10</v>
      </c>
      <c r="I258" s="21" t="str">
        <f>F258</f>
        <v>2</v>
      </c>
      <c r="J258" s="19" t="s">
        <v>10</v>
      </c>
    </row>
    <row r="259" spans="1:10" x14ac:dyDescent="0.3">
      <c r="A259" s="3" t="s">
        <v>605</v>
      </c>
      <c r="B259" s="4" t="s">
        <v>603</v>
      </c>
      <c r="E259" t="s">
        <v>606</v>
      </c>
      <c r="F259" s="10" t="s">
        <v>289</v>
      </c>
      <c r="G259" s="9" t="s">
        <v>10</v>
      </c>
      <c r="I259" s="21"/>
      <c r="J259" s="19" t="s">
        <v>71</v>
      </c>
    </row>
    <row r="260" spans="1:10" x14ac:dyDescent="0.3">
      <c r="A260" s="3" t="s">
        <v>607</v>
      </c>
      <c r="B260" s="4" t="s">
        <v>603</v>
      </c>
      <c r="E260" t="s">
        <v>608</v>
      </c>
      <c r="F260" s="10" t="s">
        <v>592</v>
      </c>
      <c r="G260" s="9" t="s">
        <v>10</v>
      </c>
      <c r="I260" s="21"/>
      <c r="J260" s="19" t="s">
        <v>71</v>
      </c>
    </row>
    <row r="261" spans="1:10" x14ac:dyDescent="0.3">
      <c r="A261" s="3" t="s">
        <v>609</v>
      </c>
      <c r="B261" s="4" t="s">
        <v>603</v>
      </c>
      <c r="E261" t="s">
        <v>610</v>
      </c>
      <c r="F261" s="10" t="s">
        <v>242</v>
      </c>
      <c r="G261" s="9" t="s">
        <v>10</v>
      </c>
      <c r="I261" s="21"/>
      <c r="J261" s="19" t="s">
        <v>71</v>
      </c>
    </row>
    <row r="262" spans="1:10" x14ac:dyDescent="0.3">
      <c r="A262" s="3" t="s">
        <v>611</v>
      </c>
      <c r="B262" s="4" t="s">
        <v>603</v>
      </c>
      <c r="E262" t="s">
        <v>612</v>
      </c>
      <c r="F262" s="10" t="s">
        <v>597</v>
      </c>
      <c r="G262" s="9" t="s">
        <v>10</v>
      </c>
      <c r="I262" s="21"/>
      <c r="J262" s="19" t="s">
        <v>71</v>
      </c>
    </row>
    <row r="263" spans="1:10" x14ac:dyDescent="0.3">
      <c r="A263" s="3" t="s">
        <v>613</v>
      </c>
      <c r="B263" s="4" t="s">
        <v>603</v>
      </c>
      <c r="E263" t="s">
        <v>614</v>
      </c>
      <c r="F263" s="11"/>
      <c r="G263" s="66" t="s">
        <v>61</v>
      </c>
      <c r="I263" s="11">
        <f>I255</f>
        <v>-0.65068938266756693</v>
      </c>
      <c r="J263" s="66" t="s">
        <v>61</v>
      </c>
    </row>
    <row r="264" spans="1:10" x14ac:dyDescent="0.3">
      <c r="A264" s="3" t="s">
        <v>615</v>
      </c>
      <c r="B264" s="4" t="s">
        <v>603</v>
      </c>
      <c r="E264" t="s">
        <v>616</v>
      </c>
      <c r="F264" s="11"/>
      <c r="G264" s="66" t="s">
        <v>61</v>
      </c>
      <c r="I264" s="11">
        <f>-I256</f>
        <v>-0.6169</v>
      </c>
      <c r="J264" s="66" t="s">
        <v>61</v>
      </c>
    </row>
    <row r="265" spans="1:10" s="8" customFormat="1" x14ac:dyDescent="0.3">
      <c r="A265" s="63"/>
      <c r="B265" s="63"/>
      <c r="F265" s="62"/>
    </row>
    <row r="266" spans="1:10" x14ac:dyDescent="0.3">
      <c r="A266" s="3" t="s">
        <v>617</v>
      </c>
      <c r="B266" s="4" t="s">
        <v>618</v>
      </c>
      <c r="E266" t="s">
        <v>619</v>
      </c>
      <c r="F266" s="10" t="s">
        <v>231</v>
      </c>
      <c r="G266" s="9" t="s">
        <v>10</v>
      </c>
      <c r="I266" s="21" t="str">
        <f>F266</f>
        <v>2</v>
      </c>
      <c r="J266" s="19" t="s">
        <v>10</v>
      </c>
    </row>
    <row r="267" spans="1:10" x14ac:dyDescent="0.3">
      <c r="A267" s="3" t="s">
        <v>620</v>
      </c>
      <c r="B267" s="4" t="s">
        <v>618</v>
      </c>
      <c r="E267" t="s">
        <v>621</v>
      </c>
      <c r="F267" s="10" t="s">
        <v>289</v>
      </c>
      <c r="G267" s="9" t="s">
        <v>10</v>
      </c>
      <c r="I267" s="21"/>
      <c r="J267" s="19" t="s">
        <v>71</v>
      </c>
    </row>
    <row r="268" spans="1:10" x14ac:dyDescent="0.3">
      <c r="A268" s="3" t="s">
        <v>622</v>
      </c>
      <c r="B268" s="4" t="s">
        <v>618</v>
      </c>
      <c r="E268" t="s">
        <v>623</v>
      </c>
      <c r="F268" s="10" t="s">
        <v>592</v>
      </c>
      <c r="G268" s="9" t="s">
        <v>10</v>
      </c>
      <c r="I268" s="21"/>
      <c r="J268" s="19" t="s">
        <v>71</v>
      </c>
    </row>
    <row r="269" spans="1:10" x14ac:dyDescent="0.3">
      <c r="A269" s="3" t="s">
        <v>624</v>
      </c>
      <c r="B269" s="4" t="s">
        <v>618</v>
      </c>
      <c r="E269" t="s">
        <v>625</v>
      </c>
      <c r="F269" s="10" t="s">
        <v>242</v>
      </c>
      <c r="G269" s="9" t="s">
        <v>10</v>
      </c>
      <c r="I269" s="21"/>
      <c r="J269" s="19" t="s">
        <v>71</v>
      </c>
    </row>
    <row r="270" spans="1:10" x14ac:dyDescent="0.3">
      <c r="A270" s="3" t="s">
        <v>626</v>
      </c>
      <c r="B270" s="4" t="s">
        <v>618</v>
      </c>
      <c r="E270" t="s">
        <v>627</v>
      </c>
      <c r="F270" s="10" t="s">
        <v>597</v>
      </c>
      <c r="G270" s="9" t="s">
        <v>10</v>
      </c>
      <c r="I270" s="21"/>
      <c r="J270" s="19" t="s">
        <v>71</v>
      </c>
    </row>
    <row r="271" spans="1:10" x14ac:dyDescent="0.3">
      <c r="A271" s="3" t="s">
        <v>628</v>
      </c>
      <c r="B271" s="4" t="s">
        <v>618</v>
      </c>
      <c r="E271" t="s">
        <v>629</v>
      </c>
      <c r="F271" s="11"/>
      <c r="G271" s="66" t="s">
        <v>61</v>
      </c>
      <c r="I271" s="11">
        <f>I167 + I80 + I82</f>
        <v>0.96956910291693521</v>
      </c>
      <c r="J271" s="66" t="s">
        <v>61</v>
      </c>
    </row>
    <row r="272" spans="1:10" x14ac:dyDescent="0.3">
      <c r="A272" s="3" t="s">
        <v>630</v>
      </c>
      <c r="B272" s="4" t="s">
        <v>618</v>
      </c>
      <c r="E272" t="s">
        <v>631</v>
      </c>
      <c r="F272" s="11"/>
      <c r="G272" s="66" t="s">
        <v>61</v>
      </c>
      <c r="I272" s="11">
        <f>I256</f>
        <v>0.6169</v>
      </c>
      <c r="J272" s="66" t="s">
        <v>61</v>
      </c>
    </row>
    <row r="273" spans="1:10" s="8" customFormat="1" x14ac:dyDescent="0.3">
      <c r="A273" s="63"/>
      <c r="B273" s="63"/>
      <c r="F273" s="62"/>
    </row>
    <row r="274" spans="1:10" x14ac:dyDescent="0.3">
      <c r="A274" s="3" t="s">
        <v>632</v>
      </c>
      <c r="B274" s="4" t="s">
        <v>633</v>
      </c>
      <c r="E274" t="s">
        <v>634</v>
      </c>
      <c r="F274" s="10" t="s">
        <v>231</v>
      </c>
      <c r="G274" s="9" t="s">
        <v>10</v>
      </c>
      <c r="I274" s="21" t="str">
        <f>F274</f>
        <v>2</v>
      </c>
      <c r="J274" s="19" t="s">
        <v>10</v>
      </c>
    </row>
    <row r="275" spans="1:10" x14ac:dyDescent="0.3">
      <c r="A275" s="3" t="s">
        <v>635</v>
      </c>
      <c r="B275" s="4" t="s">
        <v>633</v>
      </c>
      <c r="E275" t="s">
        <v>636</v>
      </c>
      <c r="F275" s="10" t="s">
        <v>289</v>
      </c>
      <c r="G275" s="9" t="s">
        <v>10</v>
      </c>
      <c r="I275" s="21"/>
      <c r="J275" s="19" t="s">
        <v>71</v>
      </c>
    </row>
    <row r="276" spans="1:10" x14ac:dyDescent="0.3">
      <c r="A276" s="3" t="s">
        <v>637</v>
      </c>
      <c r="B276" s="4" t="s">
        <v>633</v>
      </c>
      <c r="E276" t="s">
        <v>638</v>
      </c>
      <c r="F276" s="10" t="s">
        <v>592</v>
      </c>
      <c r="G276" s="9" t="s">
        <v>10</v>
      </c>
      <c r="I276" s="21"/>
      <c r="J276" s="19" t="s">
        <v>71</v>
      </c>
    </row>
    <row r="277" spans="1:10" x14ac:dyDescent="0.3">
      <c r="A277" s="3" t="s">
        <v>639</v>
      </c>
      <c r="B277" s="4" t="s">
        <v>633</v>
      </c>
      <c r="E277" t="s">
        <v>640</v>
      </c>
      <c r="F277" s="10" t="s">
        <v>242</v>
      </c>
      <c r="G277" s="9" t="s">
        <v>10</v>
      </c>
      <c r="I277" s="21"/>
      <c r="J277" s="19" t="s">
        <v>71</v>
      </c>
    </row>
    <row r="278" spans="1:10" x14ac:dyDescent="0.3">
      <c r="A278" s="3" t="s">
        <v>641</v>
      </c>
      <c r="B278" s="4" t="s">
        <v>633</v>
      </c>
      <c r="E278" t="s">
        <v>642</v>
      </c>
      <c r="F278" s="10" t="s">
        <v>597</v>
      </c>
      <c r="G278" s="9" t="s">
        <v>10</v>
      </c>
      <c r="I278" s="21"/>
      <c r="J278" s="19" t="s">
        <v>71</v>
      </c>
    </row>
    <row r="279" spans="1:10" x14ac:dyDescent="0.3">
      <c r="A279" s="3" t="s">
        <v>643</v>
      </c>
      <c r="B279" s="4" t="s">
        <v>633</v>
      </c>
      <c r="E279" t="s">
        <v>644</v>
      </c>
      <c r="F279" s="11"/>
      <c r="G279" s="66" t="s">
        <v>61</v>
      </c>
      <c r="I279" s="11">
        <f>I271</f>
        <v>0.96956910291693521</v>
      </c>
      <c r="J279" s="66" t="s">
        <v>61</v>
      </c>
    </row>
    <row r="280" spans="1:10" x14ac:dyDescent="0.3">
      <c r="A280" s="3" t="s">
        <v>645</v>
      </c>
      <c r="B280" s="4" t="s">
        <v>633</v>
      </c>
      <c r="E280" t="s">
        <v>646</v>
      </c>
      <c r="F280" s="11"/>
      <c r="G280" s="66" t="s">
        <v>61</v>
      </c>
      <c r="I280" s="11">
        <f>-I256</f>
        <v>-0.6169</v>
      </c>
      <c r="J280" s="66" t="s">
        <v>61</v>
      </c>
    </row>
    <row r="281" spans="1:10" s="8" customFormat="1" x14ac:dyDescent="0.3">
      <c r="A281" s="63"/>
      <c r="B281" s="63"/>
      <c r="F281" s="62"/>
    </row>
    <row r="282" spans="1:10" x14ac:dyDescent="0.3">
      <c r="A282" s="3" t="s">
        <v>647</v>
      </c>
      <c r="B282" s="4" t="s">
        <v>648</v>
      </c>
      <c r="E282" t="s">
        <v>649</v>
      </c>
      <c r="F282" s="10">
        <v>2</v>
      </c>
      <c r="G282" s="9" t="s">
        <v>10</v>
      </c>
      <c r="I282" s="21">
        <v>0.19700000000000001</v>
      </c>
      <c r="J282" s="19" t="s">
        <v>401</v>
      </c>
    </row>
    <row r="283" spans="1:10" x14ac:dyDescent="0.3">
      <c r="A283" s="3" t="s">
        <v>650</v>
      </c>
      <c r="B283" s="4" t="s">
        <v>648</v>
      </c>
      <c r="E283" t="s">
        <v>651</v>
      </c>
      <c r="F283" s="10"/>
      <c r="G283" s="9" t="s">
        <v>139</v>
      </c>
      <c r="I283" s="73" t="s">
        <v>652</v>
      </c>
      <c r="J283" s="19" t="s">
        <v>401</v>
      </c>
    </row>
    <row r="284" spans="1:10" x14ac:dyDescent="0.3">
      <c r="A284" s="3" t="s">
        <v>653</v>
      </c>
      <c r="B284" s="4" t="s">
        <v>648</v>
      </c>
      <c r="E284" s="19" t="s">
        <v>654</v>
      </c>
      <c r="F284" s="10"/>
      <c r="G284" s="9" t="s">
        <v>139</v>
      </c>
      <c r="I284" s="21">
        <v>3135.16</v>
      </c>
      <c r="J284" s="19" t="s">
        <v>401</v>
      </c>
    </row>
    <row r="285" spans="1:10" s="8" customFormat="1" x14ac:dyDescent="0.3">
      <c r="A285" s="63"/>
      <c r="B285" s="63"/>
      <c r="F285" s="62"/>
      <c r="I285" s="62"/>
    </row>
    <row r="286" spans="1:10" x14ac:dyDescent="0.3">
      <c r="A286" s="3" t="s">
        <v>655</v>
      </c>
      <c r="B286" s="4" t="s">
        <v>656</v>
      </c>
      <c r="E286" t="s">
        <v>657</v>
      </c>
      <c r="F286" s="10">
        <v>2</v>
      </c>
      <c r="G286" s="9" t="s">
        <v>10</v>
      </c>
      <c r="I286" s="21">
        <v>1.4</v>
      </c>
      <c r="J286" s="19" t="s">
        <v>401</v>
      </c>
    </row>
    <row r="287" spans="1:10" x14ac:dyDescent="0.3">
      <c r="A287" s="3" t="s">
        <v>658</v>
      </c>
      <c r="B287" s="4" t="s">
        <v>656</v>
      </c>
      <c r="E287" t="s">
        <v>659</v>
      </c>
      <c r="F287" s="10"/>
      <c r="G287" s="9" t="s">
        <v>139</v>
      </c>
      <c r="I287" s="73" t="s">
        <v>660</v>
      </c>
      <c r="J287" s="19" t="s">
        <v>401</v>
      </c>
    </row>
    <row r="288" spans="1:10" x14ac:dyDescent="0.3">
      <c r="A288" s="3" t="s">
        <v>661</v>
      </c>
      <c r="B288" s="4" t="s">
        <v>656</v>
      </c>
      <c r="E288" s="19" t="s">
        <v>662</v>
      </c>
      <c r="F288" s="10"/>
      <c r="G288" s="9" t="s">
        <v>139</v>
      </c>
      <c r="I288" s="21">
        <v>39990</v>
      </c>
      <c r="J288" s="19" t="s">
        <v>401</v>
      </c>
    </row>
    <row r="289" spans="1:10" s="8" customFormat="1" x14ac:dyDescent="0.3">
      <c r="A289" s="63"/>
      <c r="B289" s="63"/>
      <c r="F289" s="62"/>
      <c r="I289" s="62"/>
    </row>
    <row r="290" spans="1:10" x14ac:dyDescent="0.3">
      <c r="A290" s="3" t="s">
        <v>663</v>
      </c>
      <c r="B290" s="4" t="s">
        <v>664</v>
      </c>
      <c r="E290" t="s">
        <v>665</v>
      </c>
      <c r="F290" s="10"/>
      <c r="G290" s="9" t="s">
        <v>139</v>
      </c>
      <c r="I290" s="73" t="s">
        <v>666</v>
      </c>
      <c r="J290" s="19" t="s">
        <v>401</v>
      </c>
    </row>
    <row r="291" spans="1:10" x14ac:dyDescent="0.3">
      <c r="A291" s="3" t="s">
        <v>667</v>
      </c>
      <c r="B291" s="4" t="s">
        <v>664</v>
      </c>
      <c r="E291" t="s">
        <v>668</v>
      </c>
      <c r="F291" s="10">
        <v>7.2999999999999995E-2</v>
      </c>
      <c r="G291" s="9" t="s">
        <v>10</v>
      </c>
      <c r="I291" s="78">
        <v>7.2999999999999995E-2</v>
      </c>
      <c r="J291" s="19" t="s">
        <v>401</v>
      </c>
    </row>
    <row r="292" spans="1:10" x14ac:dyDescent="0.3">
      <c r="A292" s="3" t="s">
        <v>669</v>
      </c>
      <c r="B292" s="4" t="s">
        <v>664</v>
      </c>
      <c r="E292" s="19" t="s">
        <v>670</v>
      </c>
      <c r="F292" s="10"/>
      <c r="G292" s="9" t="s">
        <v>139</v>
      </c>
      <c r="I292" s="21">
        <v>841.44</v>
      </c>
      <c r="J292" s="19" t="s">
        <v>401</v>
      </c>
    </row>
    <row r="293" spans="1:10" s="8" customFormat="1" x14ac:dyDescent="0.3">
      <c r="A293" s="63"/>
      <c r="B293" s="63"/>
      <c r="F293" s="62"/>
      <c r="I293" s="62"/>
    </row>
    <row r="294" spans="1:10" x14ac:dyDescent="0.3">
      <c r="A294" s="3" t="s">
        <v>671</v>
      </c>
      <c r="B294" s="4" t="s">
        <v>672</v>
      </c>
      <c r="E294" t="s">
        <v>673</v>
      </c>
      <c r="F294" s="10" t="s">
        <v>674</v>
      </c>
      <c r="G294" s="9" t="s">
        <v>10</v>
      </c>
      <c r="I294" s="21">
        <v>0.08</v>
      </c>
      <c r="J294" s="19" t="s">
        <v>401</v>
      </c>
    </row>
    <row r="295" spans="1:10" x14ac:dyDescent="0.3">
      <c r="A295" s="3" t="s">
        <v>675</v>
      </c>
      <c r="B295" s="4" t="s">
        <v>672</v>
      </c>
      <c r="E295" t="s">
        <v>676</v>
      </c>
      <c r="F295" s="10"/>
      <c r="G295" s="9" t="s">
        <v>139</v>
      </c>
      <c r="I295" s="73" t="s">
        <v>677</v>
      </c>
      <c r="J295" s="19" t="s">
        <v>401</v>
      </c>
    </row>
    <row r="296" spans="1:10" x14ac:dyDescent="0.3">
      <c r="A296" s="3" t="s">
        <v>678</v>
      </c>
      <c r="B296" s="4" t="s">
        <v>672</v>
      </c>
      <c r="E296" s="19" t="s">
        <v>679</v>
      </c>
      <c r="F296" s="10"/>
      <c r="G296" s="9" t="s">
        <v>139</v>
      </c>
      <c r="I296" s="21">
        <v>245.48</v>
      </c>
      <c r="J296" s="19" t="s">
        <v>401</v>
      </c>
    </row>
    <row r="297" spans="1:10" s="8" customFormat="1" x14ac:dyDescent="0.3">
      <c r="A297" s="63"/>
      <c r="B297" s="63"/>
      <c r="F297" s="62"/>
      <c r="I297" s="62"/>
    </row>
    <row r="298" spans="1:10" x14ac:dyDescent="0.3">
      <c r="A298" s="54" t="s">
        <v>680</v>
      </c>
      <c r="B298" s="79" t="s">
        <v>681</v>
      </c>
      <c r="E298" t="s">
        <v>682</v>
      </c>
      <c r="F298" s="10">
        <v>0</v>
      </c>
      <c r="G298" s="9" t="s">
        <v>10</v>
      </c>
      <c r="I298" s="21">
        <v>0</v>
      </c>
      <c r="J298" s="19" t="s">
        <v>401</v>
      </c>
    </row>
    <row r="299" spans="1:10" x14ac:dyDescent="0.3">
      <c r="A299" s="54" t="s">
        <v>683</v>
      </c>
      <c r="B299" s="79" t="s">
        <v>681</v>
      </c>
      <c r="E299" t="s">
        <v>684</v>
      </c>
      <c r="F299" s="10">
        <v>0</v>
      </c>
      <c r="G299" s="9" t="s">
        <v>10</v>
      </c>
      <c r="I299" s="21">
        <v>0</v>
      </c>
      <c r="J299" s="19" t="s">
        <v>401</v>
      </c>
    </row>
    <row r="300" spans="1:10" x14ac:dyDescent="0.3">
      <c r="A300" s="54" t="s">
        <v>685</v>
      </c>
      <c r="B300" s="79" t="s">
        <v>681</v>
      </c>
      <c r="E300" t="s">
        <v>686</v>
      </c>
      <c r="F300" s="10"/>
      <c r="G300" s="9" t="s">
        <v>139</v>
      </c>
      <c r="I300" s="73" t="s">
        <v>687</v>
      </c>
      <c r="J300" s="19" t="s">
        <v>401</v>
      </c>
    </row>
    <row r="301" spans="1:10" x14ac:dyDescent="0.3">
      <c r="A301" s="54" t="s">
        <v>688</v>
      </c>
      <c r="B301" s="79" t="s">
        <v>681</v>
      </c>
      <c r="E301" s="19" t="s">
        <v>689</v>
      </c>
      <c r="F301" s="10"/>
      <c r="G301" s="9" t="s">
        <v>139</v>
      </c>
      <c r="I301" s="73" t="s">
        <v>690</v>
      </c>
      <c r="J301" s="19" t="s">
        <v>401</v>
      </c>
    </row>
    <row r="302" spans="1:10" x14ac:dyDescent="0.3">
      <c r="A302" s="54" t="s">
        <v>691</v>
      </c>
      <c r="B302" s="79" t="s">
        <v>681</v>
      </c>
      <c r="E302" s="19" t="s">
        <v>692</v>
      </c>
      <c r="F302" s="10"/>
      <c r="G302" s="9" t="s">
        <v>139</v>
      </c>
      <c r="I302" s="21">
        <v>45</v>
      </c>
      <c r="J302" s="19" t="s">
        <v>401</v>
      </c>
    </row>
    <row r="303" spans="1:10" x14ac:dyDescent="0.3">
      <c r="A303" s="54" t="s">
        <v>693</v>
      </c>
      <c r="B303" s="79" t="s">
        <v>681</v>
      </c>
      <c r="E303" s="19" t="s">
        <v>694</v>
      </c>
      <c r="F303" s="10"/>
      <c r="G303" s="9" t="s">
        <v>139</v>
      </c>
      <c r="I303" s="21">
        <v>55</v>
      </c>
      <c r="J303" s="19" t="s">
        <v>401</v>
      </c>
    </row>
    <row r="304" spans="1:10" s="8" customFormat="1" x14ac:dyDescent="0.3">
      <c r="A304" s="63"/>
      <c r="B304" s="63"/>
      <c r="F304" s="62"/>
      <c r="I304" s="62"/>
    </row>
    <row r="305" spans="1:10" x14ac:dyDescent="0.3">
      <c r="A305" s="3" t="s">
        <v>695</v>
      </c>
      <c r="B305" s="4" t="s">
        <v>696</v>
      </c>
      <c r="E305" t="s">
        <v>697</v>
      </c>
      <c r="F305" s="10">
        <v>0</v>
      </c>
      <c r="G305" s="9" t="s">
        <v>10</v>
      </c>
      <c r="I305" s="21">
        <v>0</v>
      </c>
      <c r="J305" s="19" t="s">
        <v>401</v>
      </c>
    </row>
    <row r="306" spans="1:10" x14ac:dyDescent="0.3">
      <c r="A306" s="3" t="s">
        <v>698</v>
      </c>
      <c r="B306" s="4" t="s">
        <v>696</v>
      </c>
      <c r="E306" t="s">
        <v>699</v>
      </c>
      <c r="F306" s="10"/>
      <c r="G306" s="9" t="s">
        <v>139</v>
      </c>
      <c r="I306" s="73" t="s">
        <v>700</v>
      </c>
      <c r="J306" s="19" t="s">
        <v>401</v>
      </c>
    </row>
    <row r="307" spans="1:10" x14ac:dyDescent="0.3">
      <c r="A307" s="3" t="s">
        <v>701</v>
      </c>
      <c r="B307" s="4" t="s">
        <v>696</v>
      </c>
      <c r="E307" s="19" t="s">
        <v>702</v>
      </c>
      <c r="F307" s="10"/>
      <c r="G307" s="9" t="s">
        <v>139</v>
      </c>
      <c r="I307" s="21">
        <v>100</v>
      </c>
      <c r="J307" s="19" t="s">
        <v>401</v>
      </c>
    </row>
    <row r="308" spans="1:10" s="8" customFormat="1" x14ac:dyDescent="0.3">
      <c r="A308" s="63"/>
      <c r="B308" s="63"/>
      <c r="F308" s="62"/>
      <c r="I308" s="62"/>
    </row>
    <row r="309" spans="1:10" x14ac:dyDescent="0.3">
      <c r="A309" s="3" t="s">
        <v>703</v>
      </c>
      <c r="B309" s="4" t="s">
        <v>704</v>
      </c>
      <c r="E309" t="s">
        <v>705</v>
      </c>
      <c r="F309" s="10">
        <v>7.3499999999999996E-2</v>
      </c>
      <c r="G309" s="9" t="s">
        <v>10</v>
      </c>
      <c r="I309" s="21">
        <v>7.3499999999999996E-2</v>
      </c>
      <c r="J309" s="19" t="s">
        <v>401</v>
      </c>
    </row>
    <row r="310" spans="1:10" x14ac:dyDescent="0.3">
      <c r="A310" s="3" t="s">
        <v>706</v>
      </c>
      <c r="B310" s="4" t="s">
        <v>704</v>
      </c>
      <c r="E310" t="s">
        <v>707</v>
      </c>
      <c r="F310" s="10"/>
      <c r="G310" s="9" t="s">
        <v>139</v>
      </c>
      <c r="I310" s="73" t="s">
        <v>708</v>
      </c>
      <c r="J310" s="19" t="s">
        <v>401</v>
      </c>
    </row>
    <row r="311" spans="1:10" x14ac:dyDescent="0.3">
      <c r="A311" s="3" t="s">
        <v>709</v>
      </c>
      <c r="B311" s="4" t="s">
        <v>704</v>
      </c>
      <c r="E311" s="19" t="s">
        <v>710</v>
      </c>
      <c r="F311" s="10"/>
      <c r="G311" s="9" t="s">
        <v>139</v>
      </c>
      <c r="I311" s="21">
        <v>119.99</v>
      </c>
      <c r="J311" s="19" t="s">
        <v>401</v>
      </c>
    </row>
    <row r="312" spans="1:10" x14ac:dyDescent="0.3">
      <c r="A312" s="3" t="s">
        <v>711</v>
      </c>
      <c r="B312" s="4" t="s">
        <v>704</v>
      </c>
      <c r="E312" s="19" t="s">
        <v>712</v>
      </c>
      <c r="F312" s="10">
        <v>4</v>
      </c>
      <c r="G312" s="9" t="s">
        <v>10</v>
      </c>
      <c r="I312" s="21">
        <v>4</v>
      </c>
      <c r="J312" s="19" t="s">
        <v>401</v>
      </c>
    </row>
    <row r="313" spans="1:10" x14ac:dyDescent="0.3">
      <c r="A313" s="3" t="s">
        <v>713</v>
      </c>
      <c r="B313" s="4" t="s">
        <v>704</v>
      </c>
      <c r="E313" s="19" t="s">
        <v>714</v>
      </c>
      <c r="F313" s="10"/>
      <c r="G313" s="9" t="s">
        <v>139</v>
      </c>
      <c r="I313" s="72">
        <v>2.2000000000000001E-3</v>
      </c>
      <c r="J313" s="19" t="s">
        <v>401</v>
      </c>
    </row>
    <row r="314" spans="1:10" x14ac:dyDescent="0.3">
      <c r="A314" s="3" t="s">
        <v>715</v>
      </c>
      <c r="B314" s="4" t="s">
        <v>704</v>
      </c>
      <c r="E314" s="19" t="s">
        <v>716</v>
      </c>
      <c r="F314" s="10"/>
      <c r="G314" s="9" t="s">
        <v>139</v>
      </c>
      <c r="I314" s="72">
        <v>5.6999999999999998E-9</v>
      </c>
      <c r="J314" s="19" t="s">
        <v>401</v>
      </c>
    </row>
    <row r="315" spans="1:10" x14ac:dyDescent="0.3">
      <c r="A315" s="3" t="s">
        <v>717</v>
      </c>
      <c r="B315" s="4" t="s">
        <v>704</v>
      </c>
      <c r="E315" s="19" t="s">
        <v>718</v>
      </c>
      <c r="F315" s="10"/>
      <c r="G315" s="9" t="s">
        <v>139</v>
      </c>
      <c r="I315" s="72">
        <v>1.11E-8</v>
      </c>
      <c r="J315" s="19" t="s">
        <v>401</v>
      </c>
    </row>
    <row r="316" spans="1:10" x14ac:dyDescent="0.3">
      <c r="A316" s="3" t="s">
        <v>719</v>
      </c>
      <c r="B316" s="4" t="s">
        <v>704</v>
      </c>
      <c r="E316" s="19" t="s">
        <v>720</v>
      </c>
      <c r="F316" s="10"/>
      <c r="G316" s="9" t="s">
        <v>139</v>
      </c>
      <c r="I316" s="72">
        <v>16000</v>
      </c>
      <c r="J316" s="19" t="s">
        <v>401</v>
      </c>
    </row>
    <row r="317" spans="1:10" x14ac:dyDescent="0.3">
      <c r="A317" s="3" t="s">
        <v>721</v>
      </c>
      <c r="B317" s="4" t="s">
        <v>704</v>
      </c>
      <c r="E317" s="19" t="s">
        <v>722</v>
      </c>
      <c r="F317" s="10"/>
      <c r="G317" s="9" t="s">
        <v>139</v>
      </c>
      <c r="I317" s="21">
        <v>0.5</v>
      </c>
      <c r="J317" s="19" t="s">
        <v>401</v>
      </c>
    </row>
    <row r="318" spans="1:10" x14ac:dyDescent="0.3">
      <c r="A318" s="3" t="s">
        <v>723</v>
      </c>
      <c r="B318" s="4" t="s">
        <v>704</v>
      </c>
      <c r="E318" s="19" t="s">
        <v>724</v>
      </c>
      <c r="F318" s="10"/>
      <c r="G318" s="9" t="s">
        <v>139</v>
      </c>
      <c r="I318" s="21">
        <v>6</v>
      </c>
      <c r="J318" s="19" t="s">
        <v>401</v>
      </c>
    </row>
    <row r="319" spans="1:10" s="8" customFormat="1" x14ac:dyDescent="0.3">
      <c r="A319" s="63"/>
      <c r="B319" s="63"/>
      <c r="F319" s="62"/>
    </row>
    <row r="320" spans="1:10" x14ac:dyDescent="0.3">
      <c r="A320" s="3" t="s">
        <v>725</v>
      </c>
      <c r="B320" s="4" t="s">
        <v>726</v>
      </c>
      <c r="E320" t="s">
        <v>727</v>
      </c>
      <c r="F320" s="10">
        <v>0.182</v>
      </c>
      <c r="G320" s="9" t="s">
        <v>10</v>
      </c>
      <c r="I320" s="21">
        <v>0.182</v>
      </c>
      <c r="J320" s="19" t="s">
        <v>401</v>
      </c>
    </row>
    <row r="321" spans="1:10" x14ac:dyDescent="0.3">
      <c r="A321" s="3" t="s">
        <v>728</v>
      </c>
      <c r="B321" s="4" t="s">
        <v>726</v>
      </c>
      <c r="E321" t="s">
        <v>729</v>
      </c>
      <c r="F321" s="10"/>
      <c r="G321" s="9" t="s">
        <v>139</v>
      </c>
      <c r="I321" s="73" t="s">
        <v>730</v>
      </c>
      <c r="J321" s="19" t="s">
        <v>401</v>
      </c>
    </row>
    <row r="322" spans="1:10" x14ac:dyDescent="0.3">
      <c r="A322" s="3" t="s">
        <v>731</v>
      </c>
      <c r="B322" s="4" t="s">
        <v>726</v>
      </c>
      <c r="E322" s="19" t="s">
        <v>732</v>
      </c>
      <c r="F322" s="10"/>
      <c r="G322" s="9" t="s">
        <v>139</v>
      </c>
      <c r="I322" s="21">
        <v>109.99</v>
      </c>
      <c r="J322" s="19" t="s">
        <v>401</v>
      </c>
    </row>
    <row r="323" spans="1:10" x14ac:dyDescent="0.3">
      <c r="A323" s="3" t="s">
        <v>733</v>
      </c>
      <c r="B323" s="4" t="s">
        <v>726</v>
      </c>
      <c r="E323" s="19" t="s">
        <v>734</v>
      </c>
      <c r="F323" s="10"/>
      <c r="G323" s="9" t="s">
        <v>139</v>
      </c>
      <c r="I323" s="72">
        <f>I313</f>
        <v>2.2000000000000001E-3</v>
      </c>
      <c r="J323" s="19" t="s">
        <v>401</v>
      </c>
    </row>
    <row r="324" spans="1:10" x14ac:dyDescent="0.3">
      <c r="A324" s="3" t="s">
        <v>735</v>
      </c>
      <c r="B324" s="4" t="s">
        <v>726</v>
      </c>
      <c r="E324" s="19" t="s">
        <v>736</v>
      </c>
      <c r="F324" s="10"/>
      <c r="G324" s="9" t="s">
        <v>139</v>
      </c>
      <c r="I324" s="72">
        <f>I314</f>
        <v>5.6999999999999998E-9</v>
      </c>
      <c r="J324" s="19" t="s">
        <v>401</v>
      </c>
    </row>
    <row r="325" spans="1:10" x14ac:dyDescent="0.3">
      <c r="A325" s="3" t="s">
        <v>737</v>
      </c>
      <c r="B325" s="4" t="s">
        <v>726</v>
      </c>
      <c r="E325" s="19" t="s">
        <v>738</v>
      </c>
      <c r="F325" s="10"/>
      <c r="G325" s="9" t="s">
        <v>139</v>
      </c>
      <c r="I325" s="72">
        <f>I315</f>
        <v>1.11E-8</v>
      </c>
      <c r="J325" s="19" t="s">
        <v>401</v>
      </c>
    </row>
    <row r="326" spans="1:10" x14ac:dyDescent="0.3">
      <c r="A326" s="3" t="s">
        <v>739</v>
      </c>
      <c r="B326" s="4" t="s">
        <v>726</v>
      </c>
      <c r="E326" s="19" t="s">
        <v>740</v>
      </c>
      <c r="F326" s="10"/>
      <c r="G326" s="9" t="s">
        <v>139</v>
      </c>
      <c r="I326" s="72">
        <f>I316</f>
        <v>16000</v>
      </c>
      <c r="J326" s="19" t="s">
        <v>401</v>
      </c>
    </row>
    <row r="327" spans="1:10" x14ac:dyDescent="0.3">
      <c r="A327" s="3" t="s">
        <v>741</v>
      </c>
      <c r="B327" s="4" t="s">
        <v>726</v>
      </c>
      <c r="E327" s="19" t="s">
        <v>742</v>
      </c>
      <c r="F327" s="10"/>
      <c r="G327" s="9" t="s">
        <v>139</v>
      </c>
      <c r="I327" s="72">
        <f>I317</f>
        <v>0.5</v>
      </c>
      <c r="J327" s="19" t="s">
        <v>401</v>
      </c>
    </row>
    <row r="328" spans="1:10" x14ac:dyDescent="0.3">
      <c r="A328" s="3" t="s">
        <v>743</v>
      </c>
      <c r="B328" s="4" t="s">
        <v>726</v>
      </c>
      <c r="E328" s="19" t="s">
        <v>744</v>
      </c>
      <c r="F328" s="10"/>
      <c r="G328" s="9" t="s">
        <v>139</v>
      </c>
      <c r="I328" s="72">
        <v>6</v>
      </c>
      <c r="J328" s="19" t="s">
        <v>401</v>
      </c>
    </row>
    <row r="329" spans="1:10" s="8" customFormat="1" x14ac:dyDescent="0.3">
      <c r="A329" s="63"/>
      <c r="B329" s="63"/>
      <c r="F329" s="62"/>
    </row>
    <row r="330" spans="1:10" x14ac:dyDescent="0.3">
      <c r="A330" s="3" t="s">
        <v>745</v>
      </c>
      <c r="B330" s="4" t="s">
        <v>746</v>
      </c>
      <c r="E330" t="s">
        <v>747</v>
      </c>
      <c r="F330" s="10">
        <v>0.76600000000000001</v>
      </c>
      <c r="G330" s="9" t="s">
        <v>10</v>
      </c>
      <c r="I330" s="21">
        <v>0.76600000000000001</v>
      </c>
      <c r="J330" s="19" t="s">
        <v>401</v>
      </c>
    </row>
    <row r="331" spans="1:10" x14ac:dyDescent="0.3">
      <c r="A331" s="3" t="s">
        <v>748</v>
      </c>
      <c r="B331" s="4" t="s">
        <v>746</v>
      </c>
      <c r="E331" t="s">
        <v>749</v>
      </c>
      <c r="F331" s="10"/>
      <c r="G331" s="9" t="s">
        <v>139</v>
      </c>
      <c r="I331" s="73" t="s">
        <v>750</v>
      </c>
      <c r="J331" s="19" t="s">
        <v>401</v>
      </c>
    </row>
    <row r="332" spans="1:10" x14ac:dyDescent="0.3">
      <c r="A332" s="3" t="s">
        <v>751</v>
      </c>
      <c r="B332" s="4" t="s">
        <v>746</v>
      </c>
      <c r="E332" t="s">
        <v>752</v>
      </c>
      <c r="F332" s="10"/>
      <c r="G332" s="9" t="s">
        <v>139</v>
      </c>
      <c r="I332" s="21">
        <v>344</v>
      </c>
      <c r="J332" s="19" t="s">
        <v>401</v>
      </c>
    </row>
    <row r="333" spans="1:10" x14ac:dyDescent="0.3">
      <c r="E333" t="s">
        <v>753</v>
      </c>
      <c r="F333" s="10"/>
      <c r="G333" s="9" t="s">
        <v>139</v>
      </c>
      <c r="I333" s="21">
        <v>46</v>
      </c>
      <c r="J333" s="19" t="s">
        <v>401</v>
      </c>
    </row>
    <row r="334" spans="1:10" x14ac:dyDescent="0.3">
      <c r="E334" t="s">
        <v>754</v>
      </c>
      <c r="F334" s="10"/>
      <c r="G334" s="9" t="s">
        <v>139</v>
      </c>
      <c r="I334" s="21">
        <v>140</v>
      </c>
      <c r="J334" s="19" t="s">
        <v>401</v>
      </c>
    </row>
    <row r="335" spans="1:10" x14ac:dyDescent="0.3">
      <c r="E335" t="s">
        <v>755</v>
      </c>
      <c r="F335" s="10"/>
      <c r="G335" s="9" t="s">
        <v>139</v>
      </c>
      <c r="I335" s="21">
        <v>72</v>
      </c>
      <c r="J335" s="19" t="s">
        <v>401</v>
      </c>
    </row>
    <row r="336" spans="1:10" s="8" customFormat="1" x14ac:dyDescent="0.3">
      <c r="A336" s="63"/>
      <c r="B336" s="63"/>
      <c r="F336" s="62"/>
    </row>
    <row r="337" spans="1:10" x14ac:dyDescent="0.3">
      <c r="A337" s="3" t="s">
        <v>756</v>
      </c>
      <c r="B337" s="4" t="s">
        <v>757</v>
      </c>
      <c r="E337" t="s">
        <v>758</v>
      </c>
      <c r="F337" s="10">
        <v>0.33</v>
      </c>
      <c r="G337" s="9" t="s">
        <v>10</v>
      </c>
      <c r="I337" s="21">
        <v>0.33</v>
      </c>
      <c r="J337" s="19" t="s">
        <v>401</v>
      </c>
    </row>
    <row r="338" spans="1:10" x14ac:dyDescent="0.3">
      <c r="A338" s="3" t="s">
        <v>759</v>
      </c>
      <c r="B338" s="4" t="s">
        <v>757</v>
      </c>
      <c r="E338" t="s">
        <v>760</v>
      </c>
      <c r="F338" s="10"/>
      <c r="G338" s="9" t="s">
        <v>139</v>
      </c>
      <c r="I338" s="73" t="s">
        <v>761</v>
      </c>
      <c r="J338" s="19" t="s">
        <v>401</v>
      </c>
    </row>
    <row r="339" spans="1:10" x14ac:dyDescent="0.3">
      <c r="A339" s="3" t="s">
        <v>762</v>
      </c>
      <c r="B339" s="4" t="s">
        <v>757</v>
      </c>
      <c r="E339" s="19" t="s">
        <v>763</v>
      </c>
      <c r="F339" s="10"/>
      <c r="G339" s="9" t="s">
        <v>139</v>
      </c>
      <c r="I339" s="21">
        <v>4308.6099999999997</v>
      </c>
      <c r="J339" s="19" t="s">
        <v>401</v>
      </c>
    </row>
    <row r="340" spans="1:10" s="8" customFormat="1" x14ac:dyDescent="0.3">
      <c r="A340" s="63"/>
      <c r="B340" s="63"/>
      <c r="F340" s="62"/>
      <c r="I340" s="62"/>
    </row>
    <row r="341" spans="1:10" x14ac:dyDescent="0.3">
      <c r="A341" s="3" t="s">
        <v>764</v>
      </c>
      <c r="B341" s="4" t="s">
        <v>765</v>
      </c>
      <c r="E341" t="s">
        <v>766</v>
      </c>
      <c r="F341" s="10">
        <v>1.6E-2</v>
      </c>
      <c r="G341" s="9" t="s">
        <v>10</v>
      </c>
      <c r="I341" s="21">
        <v>1.6E-2</v>
      </c>
      <c r="J341" s="19" t="s">
        <v>401</v>
      </c>
    </row>
    <row r="342" spans="1:10" x14ac:dyDescent="0.3">
      <c r="A342" s="3" t="s">
        <v>767</v>
      </c>
      <c r="B342" s="4" t="s">
        <v>765</v>
      </c>
      <c r="E342" t="s">
        <v>768</v>
      </c>
      <c r="F342" s="10"/>
      <c r="G342" s="9" t="s">
        <v>139</v>
      </c>
      <c r="I342" s="73" t="s">
        <v>769</v>
      </c>
      <c r="J342" s="19" t="s">
        <v>401</v>
      </c>
    </row>
    <row r="343" spans="1:10" x14ac:dyDescent="0.3">
      <c r="A343" s="3" t="s">
        <v>770</v>
      </c>
      <c r="B343" s="4" t="s">
        <v>765</v>
      </c>
      <c r="E343" s="19" t="s">
        <v>771</v>
      </c>
      <c r="F343" s="10"/>
      <c r="G343" s="9" t="s">
        <v>139</v>
      </c>
      <c r="I343" s="21">
        <v>90</v>
      </c>
      <c r="J343" s="19" t="s">
        <v>401</v>
      </c>
    </row>
    <row r="344" spans="1:10" s="8" customFormat="1" x14ac:dyDescent="0.3">
      <c r="A344" s="63"/>
      <c r="B344" s="63"/>
      <c r="F344" s="62"/>
      <c r="I344" s="62"/>
    </row>
    <row r="345" spans="1:10" x14ac:dyDescent="0.3">
      <c r="A345" s="3" t="s">
        <v>772</v>
      </c>
      <c r="B345" s="4" t="s">
        <v>773</v>
      </c>
      <c r="E345" t="s">
        <v>774</v>
      </c>
      <c r="F345" s="10">
        <v>0.02</v>
      </c>
      <c r="G345" s="9" t="s">
        <v>10</v>
      </c>
      <c r="I345" s="21">
        <v>0.02</v>
      </c>
      <c r="J345" s="19" t="s">
        <v>401</v>
      </c>
    </row>
    <row r="346" spans="1:10" x14ac:dyDescent="0.3">
      <c r="A346" s="3" t="s">
        <v>775</v>
      </c>
      <c r="B346" s="4" t="s">
        <v>773</v>
      </c>
      <c r="E346" t="s">
        <v>776</v>
      </c>
      <c r="F346" s="10"/>
      <c r="G346" s="9" t="s">
        <v>139</v>
      </c>
      <c r="I346" s="73" t="s">
        <v>777</v>
      </c>
      <c r="J346" s="19" t="s">
        <v>401</v>
      </c>
    </row>
    <row r="347" spans="1:10" x14ac:dyDescent="0.3">
      <c r="A347" s="3" t="s">
        <v>778</v>
      </c>
      <c r="B347" s="4" t="s">
        <v>773</v>
      </c>
      <c r="E347" s="19" t="s">
        <v>779</v>
      </c>
      <c r="F347" s="10"/>
      <c r="G347" s="9" t="s">
        <v>139</v>
      </c>
      <c r="I347" s="21">
        <v>18.989999999999998</v>
      </c>
      <c r="J347" s="19" t="s">
        <v>401</v>
      </c>
    </row>
    <row r="348" spans="1:10" s="8" customFormat="1" x14ac:dyDescent="0.3">
      <c r="A348" s="63"/>
      <c r="B348" s="63"/>
      <c r="F348" s="62"/>
    </row>
    <row r="349" spans="1:10" x14ac:dyDescent="0.3">
      <c r="A349" s="3" t="s">
        <v>780</v>
      </c>
      <c r="B349" s="4" t="s">
        <v>781</v>
      </c>
      <c r="E349" t="s">
        <v>782</v>
      </c>
      <c r="F349" s="10">
        <v>2.2000000000000001E-3</v>
      </c>
      <c r="G349" s="9" t="s">
        <v>10</v>
      </c>
      <c r="I349" s="21">
        <v>2.2000000000000001E-3</v>
      </c>
      <c r="J349" s="19" t="s">
        <v>401</v>
      </c>
    </row>
    <row r="350" spans="1:10" x14ac:dyDescent="0.3">
      <c r="A350" s="3" t="s">
        <v>783</v>
      </c>
      <c r="B350" s="4" t="s">
        <v>781</v>
      </c>
      <c r="E350" t="s">
        <v>784</v>
      </c>
      <c r="F350" s="10"/>
      <c r="G350" s="9" t="s">
        <v>139</v>
      </c>
      <c r="I350" s="73" t="s">
        <v>785</v>
      </c>
      <c r="J350" s="19" t="s">
        <v>401</v>
      </c>
    </row>
    <row r="351" spans="1:10" x14ac:dyDescent="0.3">
      <c r="A351" s="3" t="s">
        <v>786</v>
      </c>
      <c r="B351" s="4" t="s">
        <v>781</v>
      </c>
      <c r="E351" s="19" t="s">
        <v>787</v>
      </c>
      <c r="F351" s="10"/>
      <c r="G351" s="9" t="s">
        <v>139</v>
      </c>
      <c r="I351" s="21">
        <v>27.21</v>
      </c>
      <c r="J351" s="19" t="s">
        <v>401</v>
      </c>
    </row>
    <row r="352" spans="1:10" s="8" customFormat="1" x14ac:dyDescent="0.3">
      <c r="A352" s="63"/>
      <c r="B352" s="63"/>
      <c r="F352" s="62"/>
    </row>
    <row r="353" spans="1:10" x14ac:dyDescent="0.3">
      <c r="A353" s="3" t="s">
        <v>788</v>
      </c>
      <c r="B353" s="4" t="s">
        <v>789</v>
      </c>
      <c r="E353" t="s">
        <v>790</v>
      </c>
      <c r="F353" s="10">
        <v>0</v>
      </c>
      <c r="G353" s="9" t="s">
        <v>10</v>
      </c>
      <c r="I353" s="21">
        <v>0</v>
      </c>
      <c r="J353" s="19" t="s">
        <v>401</v>
      </c>
    </row>
    <row r="354" spans="1:10" x14ac:dyDescent="0.3">
      <c r="A354" s="3" t="s">
        <v>791</v>
      </c>
      <c r="B354" s="4" t="s">
        <v>789</v>
      </c>
      <c r="E354" t="s">
        <v>792</v>
      </c>
      <c r="F354" s="10"/>
      <c r="G354" s="9" t="s">
        <v>139</v>
      </c>
      <c r="I354" s="73" t="s">
        <v>793</v>
      </c>
      <c r="J354" s="19" t="s">
        <v>401</v>
      </c>
    </row>
    <row r="355" spans="1:10" x14ac:dyDescent="0.3">
      <c r="A355" s="3" t="s">
        <v>794</v>
      </c>
      <c r="B355" s="4" t="s">
        <v>789</v>
      </c>
      <c r="E355" s="19" t="s">
        <v>795</v>
      </c>
      <c r="F355" s="10"/>
      <c r="G355" s="9" t="s">
        <v>139</v>
      </c>
      <c r="I355" s="21">
        <v>70.59</v>
      </c>
      <c r="J355" s="19" t="s">
        <v>401</v>
      </c>
    </row>
    <row r="356" spans="1:10" s="8" customFormat="1" x14ac:dyDescent="0.3">
      <c r="A356" s="63"/>
      <c r="B356" s="63"/>
      <c r="F356" s="62"/>
      <c r="I356" s="62"/>
    </row>
    <row r="357" spans="1:10" x14ac:dyDescent="0.3">
      <c r="A357" s="3" t="s">
        <v>796</v>
      </c>
      <c r="B357" s="4" t="s">
        <v>797</v>
      </c>
      <c r="E357" t="s">
        <v>798</v>
      </c>
      <c r="F357" s="10">
        <v>6.7000000000000004E-2</v>
      </c>
      <c r="G357" s="9" t="s">
        <v>10</v>
      </c>
      <c r="I357" s="21">
        <v>6.7000000000000004E-2</v>
      </c>
      <c r="J357" s="19" t="s">
        <v>401</v>
      </c>
    </row>
    <row r="358" spans="1:10" x14ac:dyDescent="0.3">
      <c r="A358" s="3" t="s">
        <v>799</v>
      </c>
      <c r="B358" s="4" t="s">
        <v>797</v>
      </c>
      <c r="E358" t="s">
        <v>800</v>
      </c>
      <c r="F358" s="10"/>
      <c r="G358" s="9" t="s">
        <v>139</v>
      </c>
      <c r="I358" s="73" t="s">
        <v>801</v>
      </c>
      <c r="J358" s="19" t="s">
        <v>401</v>
      </c>
    </row>
    <row r="359" spans="1:10" x14ac:dyDescent="0.3">
      <c r="A359" s="3" t="s">
        <v>802</v>
      </c>
      <c r="B359" s="4" t="s">
        <v>797</v>
      </c>
      <c r="E359" s="19" t="s">
        <v>803</v>
      </c>
      <c r="F359" s="10"/>
      <c r="G359" s="9" t="s">
        <v>139</v>
      </c>
      <c r="I359" s="21">
        <v>820.4</v>
      </c>
      <c r="J359" s="19" t="s">
        <v>401</v>
      </c>
    </row>
    <row r="360" spans="1:10" s="8" customFormat="1" x14ac:dyDescent="0.3">
      <c r="A360" s="63"/>
      <c r="B360" s="63"/>
      <c r="F360" s="62"/>
      <c r="I360" s="62"/>
    </row>
    <row r="361" spans="1:10" x14ac:dyDescent="0.3">
      <c r="A361" s="3" t="s">
        <v>804</v>
      </c>
      <c r="B361" s="4" t="s">
        <v>805</v>
      </c>
      <c r="E361" t="s">
        <v>806</v>
      </c>
      <c r="F361" s="10">
        <v>4.8800000000000003E-2</v>
      </c>
      <c r="G361" s="9" t="s">
        <v>10</v>
      </c>
      <c r="I361" s="21">
        <v>4.8800000000000003E-2</v>
      </c>
      <c r="J361" s="19" t="s">
        <v>401</v>
      </c>
    </row>
    <row r="362" spans="1:10" x14ac:dyDescent="0.3">
      <c r="A362" s="3" t="s">
        <v>807</v>
      </c>
      <c r="B362" s="4" t="s">
        <v>805</v>
      </c>
      <c r="E362" t="s">
        <v>808</v>
      </c>
      <c r="F362" s="10"/>
      <c r="G362" s="9" t="s">
        <v>139</v>
      </c>
      <c r="I362" s="73" t="s">
        <v>809</v>
      </c>
      <c r="J362" s="19" t="s">
        <v>401</v>
      </c>
    </row>
    <row r="363" spans="1:10" x14ac:dyDescent="0.3">
      <c r="A363" s="3" t="s">
        <v>810</v>
      </c>
      <c r="B363" s="4" t="s">
        <v>805</v>
      </c>
      <c r="E363" s="19" t="s">
        <v>811</v>
      </c>
      <c r="F363" s="10"/>
      <c r="G363" s="9" t="s">
        <v>139</v>
      </c>
      <c r="I363" s="21">
        <v>140.84</v>
      </c>
      <c r="J363" s="19" t="s">
        <v>401</v>
      </c>
    </row>
    <row r="364" spans="1:10" s="8" customFormat="1" x14ac:dyDescent="0.3">
      <c r="A364" s="63"/>
      <c r="B364" s="63"/>
      <c r="F364" s="62"/>
    </row>
    <row r="365" spans="1:10" x14ac:dyDescent="0.3">
      <c r="A365" s="3" t="s">
        <v>812</v>
      </c>
      <c r="B365" s="4" t="s">
        <v>813</v>
      </c>
      <c r="E365" t="s">
        <v>814</v>
      </c>
      <c r="F365" s="10"/>
      <c r="G365" s="9" t="s">
        <v>139</v>
      </c>
      <c r="I365" s="73" t="s">
        <v>815</v>
      </c>
      <c r="J365" s="19" t="s">
        <v>401</v>
      </c>
    </row>
    <row r="366" spans="1:10" x14ac:dyDescent="0.3">
      <c r="A366" s="3" t="s">
        <v>816</v>
      </c>
      <c r="B366" s="4" t="s">
        <v>813</v>
      </c>
      <c r="E366" t="s">
        <v>817</v>
      </c>
      <c r="F366" s="10">
        <v>7.0000000000000007E-2</v>
      </c>
      <c r="G366" s="9" t="s">
        <v>10</v>
      </c>
      <c r="I366" s="21">
        <v>6.8000000000000005E-2</v>
      </c>
      <c r="J366" s="19" t="s">
        <v>401</v>
      </c>
    </row>
    <row r="367" spans="1:10" x14ac:dyDescent="0.3">
      <c r="A367" s="3" t="s">
        <v>818</v>
      </c>
      <c r="B367" s="4" t="s">
        <v>813</v>
      </c>
      <c r="E367" t="s">
        <v>819</v>
      </c>
      <c r="F367" s="10">
        <v>5</v>
      </c>
      <c r="G367" s="9" t="s">
        <v>10</v>
      </c>
      <c r="I367" s="21">
        <v>5</v>
      </c>
      <c r="J367" s="19" t="s">
        <v>37</v>
      </c>
    </row>
    <row r="368" spans="1:10" x14ac:dyDescent="0.3">
      <c r="A368" s="3" t="s">
        <v>820</v>
      </c>
      <c r="B368" s="4" t="s">
        <v>813</v>
      </c>
      <c r="E368" t="s">
        <v>821</v>
      </c>
      <c r="F368" s="11" t="s">
        <v>822</v>
      </c>
      <c r="G368" s="66" t="s">
        <v>61</v>
      </c>
      <c r="I368" s="11">
        <f>I367*I366</f>
        <v>0.34</v>
      </c>
      <c r="J368" s="70" t="s">
        <v>61</v>
      </c>
    </row>
    <row r="369" spans="1:10" x14ac:dyDescent="0.3">
      <c r="A369" s="3" t="s">
        <v>823</v>
      </c>
      <c r="B369" s="4" t="s">
        <v>813</v>
      </c>
      <c r="E369" t="s">
        <v>824</v>
      </c>
      <c r="F369" s="10"/>
      <c r="G369" s="9" t="s">
        <v>139</v>
      </c>
      <c r="I369" s="21">
        <v>169.99</v>
      </c>
      <c r="J369" s="19" t="s">
        <v>401</v>
      </c>
    </row>
    <row r="370" spans="1:10" s="8" customFormat="1" x14ac:dyDescent="0.3">
      <c r="A370" s="63"/>
      <c r="B370" s="63"/>
      <c r="F370" s="62"/>
      <c r="I370" s="62"/>
    </row>
    <row r="371" spans="1:10" x14ac:dyDescent="0.3">
      <c r="A371" s="3" t="s">
        <v>825</v>
      </c>
      <c r="B371" s="4" t="s">
        <v>826</v>
      </c>
      <c r="E371" t="s">
        <v>827</v>
      </c>
      <c r="F371" s="10">
        <v>0.1</v>
      </c>
      <c r="G371" s="9" t="s">
        <v>10</v>
      </c>
      <c r="I371" s="21">
        <v>0.1</v>
      </c>
      <c r="J371" t="s">
        <v>37</v>
      </c>
    </row>
    <row r="372" spans="1:10" x14ac:dyDescent="0.3">
      <c r="A372" s="3" t="s">
        <v>828</v>
      </c>
      <c r="B372" s="4" t="s">
        <v>826</v>
      </c>
      <c r="E372" t="s">
        <v>829</v>
      </c>
      <c r="F372" s="10"/>
      <c r="G372" s="9" t="s">
        <v>139</v>
      </c>
      <c r="I372" s="21">
        <v>10</v>
      </c>
      <c r="J372" t="s">
        <v>37</v>
      </c>
    </row>
    <row r="373" spans="1:10" s="8" customFormat="1" x14ac:dyDescent="0.3">
      <c r="A373" s="63"/>
      <c r="B373" s="63"/>
      <c r="F373" s="62"/>
      <c r="I373" s="62"/>
    </row>
    <row r="374" spans="1:10" x14ac:dyDescent="0.3">
      <c r="A374" s="3" t="s">
        <v>830</v>
      </c>
      <c r="B374" s="4" t="s">
        <v>831</v>
      </c>
      <c r="E374" t="s">
        <v>832</v>
      </c>
      <c r="F374" s="10" t="s">
        <v>833</v>
      </c>
      <c r="G374" s="9" t="s">
        <v>10</v>
      </c>
      <c r="I374" s="21">
        <v>0.35</v>
      </c>
      <c r="J374" t="s">
        <v>37</v>
      </c>
    </row>
    <row r="375" spans="1:10" x14ac:dyDescent="0.3">
      <c r="A375" s="3" t="s">
        <v>834</v>
      </c>
      <c r="B375" s="4" t="s">
        <v>831</v>
      </c>
      <c r="E375" s="19" t="s">
        <v>835</v>
      </c>
      <c r="F375" s="10">
        <v>30</v>
      </c>
      <c r="G375" s="9" t="s">
        <v>10</v>
      </c>
      <c r="I375" s="21">
        <v>30</v>
      </c>
      <c r="J375" s="19" t="s">
        <v>10</v>
      </c>
    </row>
    <row r="376" spans="1:10" x14ac:dyDescent="0.3">
      <c r="A376" s="3" t="s">
        <v>836</v>
      </c>
      <c r="B376" s="4" t="s">
        <v>831</v>
      </c>
      <c r="E376" t="s">
        <v>837</v>
      </c>
      <c r="F376" s="11" t="s">
        <v>838</v>
      </c>
      <c r="G376" s="66" t="s">
        <v>61</v>
      </c>
      <c r="I376" s="21">
        <f>I374*I26</f>
        <v>7.3214615384615369</v>
      </c>
      <c r="J376" t="s">
        <v>61</v>
      </c>
    </row>
    <row r="377" spans="1:10" s="8" customFormat="1" x14ac:dyDescent="0.3">
      <c r="A377" s="63"/>
      <c r="B377" s="63"/>
      <c r="F377" s="62"/>
    </row>
    <row r="378" spans="1:10" x14ac:dyDescent="0.3">
      <c r="A378" s="3" t="s">
        <v>839</v>
      </c>
      <c r="B378" s="4" t="s">
        <v>840</v>
      </c>
      <c r="E378" t="s">
        <v>841</v>
      </c>
      <c r="F378" s="18" t="s">
        <v>842</v>
      </c>
      <c r="G378" s="66" t="s">
        <v>61</v>
      </c>
      <c r="I378" s="11"/>
      <c r="J378" s="70" t="s">
        <v>61</v>
      </c>
    </row>
    <row r="379" spans="1:10" x14ac:dyDescent="0.3">
      <c r="A379" s="3" t="s">
        <v>843</v>
      </c>
      <c r="B379" s="4" t="s">
        <v>840</v>
      </c>
      <c r="E379" t="s">
        <v>844</v>
      </c>
      <c r="F379" s="11" t="s">
        <v>845</v>
      </c>
      <c r="G379" s="66" t="s">
        <v>61</v>
      </c>
      <c r="I379" s="21"/>
      <c r="J379" s="19" t="s">
        <v>71</v>
      </c>
    </row>
    <row r="380" spans="1:10" x14ac:dyDescent="0.3">
      <c r="A380" s="3" t="s">
        <v>846</v>
      </c>
      <c r="B380" s="4" t="s">
        <v>840</v>
      </c>
      <c r="E380" t="s">
        <v>847</v>
      </c>
      <c r="F380" s="11" t="s">
        <v>848</v>
      </c>
      <c r="G380" s="66" t="s">
        <v>61</v>
      </c>
      <c r="I380" s="21"/>
      <c r="J380" t="s">
        <v>71</v>
      </c>
    </row>
    <row r="381" spans="1:10" x14ac:dyDescent="0.3">
      <c r="A381" s="3" t="s">
        <v>849</v>
      </c>
      <c r="B381" s="4" t="s">
        <v>840</v>
      </c>
      <c r="E381" t="s">
        <v>850</v>
      </c>
      <c r="F381" s="11" t="s">
        <v>851</v>
      </c>
      <c r="G381" s="66" t="s">
        <v>61</v>
      </c>
      <c r="I381" s="21"/>
      <c r="J381" t="s">
        <v>71</v>
      </c>
    </row>
    <row r="382" spans="1:10" s="8" customFormat="1" x14ac:dyDescent="0.3">
      <c r="A382" s="63"/>
      <c r="B382" s="63"/>
      <c r="F382" s="62"/>
    </row>
    <row r="383" spans="1:10" x14ac:dyDescent="0.3">
      <c r="A383" s="3" t="s">
        <v>852</v>
      </c>
      <c r="B383" s="4" t="s">
        <v>853</v>
      </c>
      <c r="E383" t="s">
        <v>854</v>
      </c>
      <c r="F383" s="11" t="s">
        <v>855</v>
      </c>
      <c r="G383" s="66" t="s">
        <v>61</v>
      </c>
      <c r="J383" t="s">
        <v>71</v>
      </c>
    </row>
    <row r="384" spans="1:10" x14ac:dyDescent="0.3">
      <c r="A384" s="3" t="s">
        <v>856</v>
      </c>
      <c r="B384" s="4" t="s">
        <v>853</v>
      </c>
      <c r="E384" t="s">
        <v>857</v>
      </c>
      <c r="F384" s="11" t="s">
        <v>858</v>
      </c>
      <c r="G384" s="66" t="s">
        <v>61</v>
      </c>
      <c r="J384" t="s">
        <v>71</v>
      </c>
    </row>
    <row r="385" spans="1:10" x14ac:dyDescent="0.3">
      <c r="A385" s="3" t="s">
        <v>859</v>
      </c>
      <c r="B385" s="4" t="s">
        <v>853</v>
      </c>
      <c r="E385" t="s">
        <v>860</v>
      </c>
      <c r="F385" s="11" t="s">
        <v>861</v>
      </c>
      <c r="G385" s="66" t="s">
        <v>61</v>
      </c>
      <c r="J385" t="s">
        <v>71</v>
      </c>
    </row>
    <row r="386" spans="1:10" x14ac:dyDescent="0.3">
      <c r="A386" s="3" t="s">
        <v>862</v>
      </c>
      <c r="B386" s="4" t="s">
        <v>853</v>
      </c>
      <c r="E386" t="s">
        <v>863</v>
      </c>
      <c r="F386" s="11" t="s">
        <v>864</v>
      </c>
      <c r="G386" s="66" t="s">
        <v>61</v>
      </c>
      <c r="J386" t="s">
        <v>71</v>
      </c>
    </row>
    <row r="387" spans="1:10" x14ac:dyDescent="0.3">
      <c r="A387" s="3" t="s">
        <v>865</v>
      </c>
      <c r="B387" s="4" t="s">
        <v>853</v>
      </c>
      <c r="E387" t="s">
        <v>866</v>
      </c>
      <c r="F387" s="18" t="s">
        <v>867</v>
      </c>
      <c r="G387" s="66" t="s">
        <v>61</v>
      </c>
      <c r="J387" t="s">
        <v>71</v>
      </c>
    </row>
    <row r="388" spans="1:10" x14ac:dyDescent="0.3">
      <c r="A388" s="3" t="s">
        <v>868</v>
      </c>
      <c r="B388" s="4" t="s">
        <v>853</v>
      </c>
      <c r="E388" t="s">
        <v>869</v>
      </c>
      <c r="F388" s="11" t="s">
        <v>870</v>
      </c>
      <c r="G388" s="66" t="s">
        <v>61</v>
      </c>
      <c r="J388" t="s">
        <v>71</v>
      </c>
    </row>
    <row r="389" spans="1:10" x14ac:dyDescent="0.3">
      <c r="A389" s="3" t="s">
        <v>871</v>
      </c>
      <c r="B389" s="4" t="s">
        <v>853</v>
      </c>
      <c r="E389" t="s">
        <v>872</v>
      </c>
      <c r="F389" s="11" t="s">
        <v>873</v>
      </c>
      <c r="G389" s="66" t="s">
        <v>61</v>
      </c>
      <c r="J389" t="s">
        <v>71</v>
      </c>
    </row>
    <row r="390" spans="1:10" x14ac:dyDescent="0.3">
      <c r="A390" s="3" t="s">
        <v>874</v>
      </c>
      <c r="B390" s="4" t="s">
        <v>853</v>
      </c>
      <c r="E390" t="s">
        <v>875</v>
      </c>
      <c r="F390" s="10" t="s">
        <v>876</v>
      </c>
      <c r="G390" s="9" t="s">
        <v>10</v>
      </c>
      <c r="J390" t="s">
        <v>71</v>
      </c>
    </row>
    <row r="391" spans="1:10" s="8" customFormat="1" x14ac:dyDescent="0.3">
      <c r="A391" s="63"/>
      <c r="B391" s="63"/>
      <c r="F391" s="62"/>
    </row>
    <row r="392" spans="1:10" x14ac:dyDescent="0.3">
      <c r="A392" s="3" t="s">
        <v>877</v>
      </c>
      <c r="B392" s="4" t="s">
        <v>878</v>
      </c>
      <c r="E392" t="s">
        <v>879</v>
      </c>
      <c r="F392" s="10" t="s">
        <v>880</v>
      </c>
      <c r="G392" s="9" t="s">
        <v>10</v>
      </c>
      <c r="J392" t="s">
        <v>71</v>
      </c>
    </row>
    <row r="393" spans="1:10" x14ac:dyDescent="0.3">
      <c r="A393" s="3" t="s">
        <v>881</v>
      </c>
      <c r="B393" s="4" t="s">
        <v>878</v>
      </c>
      <c r="E393" t="s">
        <v>882</v>
      </c>
      <c r="F393" s="10" t="s">
        <v>880</v>
      </c>
      <c r="G393" s="9" t="s">
        <v>10</v>
      </c>
      <c r="J393" t="s">
        <v>71</v>
      </c>
    </row>
    <row r="394" spans="1:10" x14ac:dyDescent="0.3">
      <c r="A394" s="3" t="s">
        <v>883</v>
      </c>
      <c r="B394" s="4" t="s">
        <v>878</v>
      </c>
      <c r="E394" t="s">
        <v>884</v>
      </c>
      <c r="F394" s="10" t="s">
        <v>18</v>
      </c>
      <c r="G394" s="9" t="s">
        <v>10</v>
      </c>
      <c r="J394" t="s">
        <v>71</v>
      </c>
    </row>
    <row r="395" spans="1:10" x14ac:dyDescent="0.3">
      <c r="A395" s="3" t="s">
        <v>885</v>
      </c>
      <c r="B395" s="4" t="s">
        <v>878</v>
      </c>
      <c r="E395" t="s">
        <v>886</v>
      </c>
      <c r="F395" s="10" t="s">
        <v>887</v>
      </c>
      <c r="G395" s="9" t="s">
        <v>10</v>
      </c>
      <c r="J395" t="s">
        <v>71</v>
      </c>
    </row>
    <row r="396" spans="1:10" x14ac:dyDescent="0.3">
      <c r="A396" s="3" t="s">
        <v>888</v>
      </c>
      <c r="B396" s="4" t="s">
        <v>878</v>
      </c>
      <c r="E396" t="s">
        <v>889</v>
      </c>
      <c r="F396" s="10" t="s">
        <v>887</v>
      </c>
      <c r="G396" s="9" t="s">
        <v>10</v>
      </c>
      <c r="J396" t="s">
        <v>71</v>
      </c>
    </row>
    <row r="397" spans="1:10" x14ac:dyDescent="0.3">
      <c r="A397" s="3" t="s">
        <v>890</v>
      </c>
      <c r="B397" s="4" t="s">
        <v>878</v>
      </c>
      <c r="E397" t="s">
        <v>891</v>
      </c>
      <c r="F397" s="10" t="s">
        <v>887</v>
      </c>
      <c r="G397" s="9" t="s">
        <v>10</v>
      </c>
      <c r="J397" t="s">
        <v>71</v>
      </c>
    </row>
    <row r="398" spans="1:10" x14ac:dyDescent="0.3">
      <c r="A398" s="3" t="s">
        <v>892</v>
      </c>
      <c r="B398" s="4" t="s">
        <v>878</v>
      </c>
      <c r="E398" t="s">
        <v>893</v>
      </c>
      <c r="F398" s="11" t="s">
        <v>894</v>
      </c>
      <c r="G398" s="66" t="s">
        <v>61</v>
      </c>
      <c r="J398" t="s">
        <v>71</v>
      </c>
    </row>
    <row r="399" spans="1:10" x14ac:dyDescent="0.3">
      <c r="A399" s="3" t="s">
        <v>895</v>
      </c>
      <c r="B399" s="4" t="s">
        <v>878</v>
      </c>
      <c r="E399" t="s">
        <v>896</v>
      </c>
      <c r="F399" s="11" t="s">
        <v>897</v>
      </c>
      <c r="G399" s="66" t="s">
        <v>61</v>
      </c>
      <c r="J399" t="s">
        <v>71</v>
      </c>
    </row>
    <row r="400" spans="1:10" x14ac:dyDescent="0.3">
      <c r="A400" s="3" t="s">
        <v>898</v>
      </c>
      <c r="B400" s="4" t="s">
        <v>878</v>
      </c>
      <c r="E400" t="s">
        <v>899</v>
      </c>
      <c r="F400" s="11" t="s">
        <v>900</v>
      </c>
      <c r="G400" s="66" t="s">
        <v>61</v>
      </c>
      <c r="J400" t="s">
        <v>71</v>
      </c>
    </row>
    <row r="401" spans="1:10" x14ac:dyDescent="0.3">
      <c r="A401" s="3" t="s">
        <v>901</v>
      </c>
      <c r="B401" s="4" t="s">
        <v>878</v>
      </c>
      <c r="E401" t="s">
        <v>902</v>
      </c>
      <c r="F401" s="11" t="s">
        <v>903</v>
      </c>
      <c r="G401" s="66" t="s">
        <v>61</v>
      </c>
      <c r="J401" t="s">
        <v>71</v>
      </c>
    </row>
    <row r="402" spans="1:10" x14ac:dyDescent="0.3">
      <c r="A402" s="3" t="s">
        <v>904</v>
      </c>
      <c r="B402" s="4" t="s">
        <v>878</v>
      </c>
      <c r="E402" t="s">
        <v>905</v>
      </c>
      <c r="F402" s="11" t="s">
        <v>906</v>
      </c>
      <c r="G402" s="66" t="s">
        <v>61</v>
      </c>
      <c r="J402" t="s">
        <v>71</v>
      </c>
    </row>
    <row r="403" spans="1:10" x14ac:dyDescent="0.3">
      <c r="A403" s="3" t="s">
        <v>907</v>
      </c>
      <c r="B403" s="4" t="s">
        <v>878</v>
      </c>
      <c r="E403" t="s">
        <v>908</v>
      </c>
      <c r="F403" s="11" t="s">
        <v>909</v>
      </c>
      <c r="G403" s="66" t="s">
        <v>61</v>
      </c>
      <c r="J403" t="s">
        <v>71</v>
      </c>
    </row>
    <row r="404" spans="1:10" x14ac:dyDescent="0.3">
      <c r="A404" s="3" t="s">
        <v>910</v>
      </c>
      <c r="B404" s="4" t="s">
        <v>878</v>
      </c>
      <c r="E404" t="s">
        <v>911</v>
      </c>
      <c r="F404" s="11" t="s">
        <v>912</v>
      </c>
      <c r="G404" s="66" t="s">
        <v>61</v>
      </c>
      <c r="J404" t="s">
        <v>71</v>
      </c>
    </row>
    <row r="405" spans="1:10" x14ac:dyDescent="0.3">
      <c r="A405" s="3" t="s">
        <v>913</v>
      </c>
      <c r="B405" s="4" t="s">
        <v>878</v>
      </c>
      <c r="E405" t="s">
        <v>914</v>
      </c>
      <c r="F405" s="10"/>
      <c r="G405" s="9" t="s">
        <v>10</v>
      </c>
    </row>
    <row r="406" spans="1:10" x14ac:dyDescent="0.3">
      <c r="F406" s="10"/>
      <c r="G406" s="9"/>
    </row>
    <row r="407" spans="1:10" x14ac:dyDescent="0.3">
      <c r="F407" s="10"/>
      <c r="G407" s="9"/>
    </row>
    <row r="408" spans="1:10" x14ac:dyDescent="0.3">
      <c r="F408" s="10"/>
      <c r="G408" s="9"/>
    </row>
    <row r="409" spans="1:10" x14ac:dyDescent="0.3">
      <c r="F409" s="10"/>
      <c r="G409" s="9"/>
    </row>
    <row r="410" spans="1:10" x14ac:dyDescent="0.3">
      <c r="F410" s="10"/>
      <c r="G410" s="9"/>
    </row>
    <row r="411" spans="1:10" x14ac:dyDescent="0.3">
      <c r="F411" s="10"/>
      <c r="G411" s="9"/>
    </row>
    <row r="412" spans="1:10" x14ac:dyDescent="0.3">
      <c r="F412" s="10"/>
      <c r="G412" s="9"/>
    </row>
    <row r="413" spans="1:10" x14ac:dyDescent="0.3">
      <c r="F413" s="10"/>
      <c r="G413" s="9"/>
    </row>
    <row r="414" spans="1:10" x14ac:dyDescent="0.3">
      <c r="F414" s="10"/>
      <c r="G414" s="9"/>
    </row>
    <row r="415" spans="1:10" x14ac:dyDescent="0.3">
      <c r="F415" s="10"/>
      <c r="G415" s="9"/>
    </row>
    <row r="416" spans="1:10" x14ac:dyDescent="0.3">
      <c r="F416" s="10"/>
      <c r="G416" s="9"/>
    </row>
    <row r="417" spans="6:7" x14ac:dyDescent="0.3">
      <c r="F417" s="10"/>
      <c r="G417" s="9"/>
    </row>
    <row r="418" spans="6:7" x14ac:dyDescent="0.3">
      <c r="F418" s="10"/>
      <c r="G418" s="9"/>
    </row>
    <row r="419" spans="6:7" x14ac:dyDescent="0.3">
      <c r="F419" s="10"/>
      <c r="G419" s="9"/>
    </row>
    <row r="420" spans="6:7" x14ac:dyDescent="0.3">
      <c r="F420" s="10"/>
      <c r="G420" s="9"/>
    </row>
    <row r="421" spans="6:7" x14ac:dyDescent="0.3">
      <c r="F421" s="10"/>
      <c r="G421" s="9"/>
    </row>
    <row r="422" spans="6:7" x14ac:dyDescent="0.3">
      <c r="F422" s="10"/>
      <c r="G422" s="9"/>
    </row>
    <row r="423" spans="6:7" x14ac:dyDescent="0.3">
      <c r="F423" s="10"/>
      <c r="G423" s="9"/>
    </row>
    <row r="424" spans="6:7" x14ac:dyDescent="0.3">
      <c r="F424" s="10"/>
      <c r="G424" s="9"/>
    </row>
    <row r="425" spans="6:7" x14ac:dyDescent="0.3">
      <c r="F425" s="10"/>
      <c r="G425" s="9"/>
    </row>
    <row r="426" spans="6:7" x14ac:dyDescent="0.3">
      <c r="F426" s="10"/>
      <c r="G426" s="9"/>
    </row>
    <row r="427" spans="6:7" x14ac:dyDescent="0.3">
      <c r="F427" s="10"/>
      <c r="G427" s="9"/>
    </row>
    <row r="428" spans="6:7" x14ac:dyDescent="0.3">
      <c r="F428" s="10"/>
      <c r="G428" s="9"/>
    </row>
    <row r="429" spans="6:7" x14ac:dyDescent="0.3">
      <c r="F429" s="10"/>
      <c r="G429" s="9"/>
    </row>
    <row r="430" spans="6:7" x14ac:dyDescent="0.3">
      <c r="F430" s="10"/>
      <c r="G430" s="9"/>
    </row>
    <row r="431" spans="6:7" x14ac:dyDescent="0.3">
      <c r="F431" s="10"/>
      <c r="G431" s="9"/>
    </row>
    <row r="432" spans="6:7" x14ac:dyDescent="0.3">
      <c r="F432" s="10"/>
      <c r="G432" s="9"/>
    </row>
    <row r="433" spans="6:7" x14ac:dyDescent="0.3">
      <c r="F433" s="10"/>
      <c r="G433" s="9"/>
    </row>
    <row r="434" spans="6:7" x14ac:dyDescent="0.3">
      <c r="F434" s="10"/>
      <c r="G434" s="9"/>
    </row>
    <row r="435" spans="6:7" x14ac:dyDescent="0.3">
      <c r="F435" s="10"/>
      <c r="G435" s="9"/>
    </row>
    <row r="436" spans="6:7" x14ac:dyDescent="0.3">
      <c r="F436" s="10"/>
      <c r="G436" s="9"/>
    </row>
    <row r="437" spans="6:7" x14ac:dyDescent="0.3">
      <c r="F437" s="10"/>
      <c r="G437" s="9"/>
    </row>
    <row r="438" spans="6:7" x14ac:dyDescent="0.3">
      <c r="F438" s="10"/>
      <c r="G438" s="9"/>
    </row>
    <row r="439" spans="6:7" x14ac:dyDescent="0.3">
      <c r="F439" s="10"/>
      <c r="G439" s="9"/>
    </row>
    <row r="440" spans="6:7" x14ac:dyDescent="0.3">
      <c r="F440" s="10"/>
      <c r="G440" s="9"/>
    </row>
    <row r="441" spans="6:7" x14ac:dyDescent="0.3">
      <c r="F441" s="10"/>
      <c r="G441" s="9"/>
    </row>
    <row r="442" spans="6:7" x14ac:dyDescent="0.3">
      <c r="F442" s="10"/>
      <c r="G442" s="9"/>
    </row>
    <row r="443" spans="6:7" x14ac:dyDescent="0.3">
      <c r="F443" s="10"/>
      <c r="G443" s="9"/>
    </row>
    <row r="444" spans="6:7" x14ac:dyDescent="0.3">
      <c r="F444" s="10"/>
      <c r="G444" s="9"/>
    </row>
    <row r="445" spans="6:7" x14ac:dyDescent="0.3">
      <c r="F445" s="10"/>
      <c r="G445" s="9"/>
    </row>
    <row r="446" spans="6:7" x14ac:dyDescent="0.3">
      <c r="F446" s="10"/>
      <c r="G446" s="9"/>
    </row>
    <row r="447" spans="6:7" x14ac:dyDescent="0.3">
      <c r="F447" s="10"/>
      <c r="G447" s="9"/>
    </row>
    <row r="448" spans="6:7" x14ac:dyDescent="0.3">
      <c r="F448" s="10"/>
      <c r="G448" s="9"/>
    </row>
    <row r="449" spans="6:7" x14ac:dyDescent="0.3">
      <c r="F449" s="10"/>
      <c r="G449" s="9"/>
    </row>
    <row r="450" spans="6:7" x14ac:dyDescent="0.3">
      <c r="F450" s="10"/>
      <c r="G450" s="9"/>
    </row>
    <row r="451" spans="6:7" x14ac:dyDescent="0.3">
      <c r="F451" s="10"/>
      <c r="G451" s="9"/>
    </row>
    <row r="452" spans="6:7" x14ac:dyDescent="0.3">
      <c r="F452" s="10"/>
      <c r="G452" s="9"/>
    </row>
    <row r="453" spans="6:7" x14ac:dyDescent="0.3">
      <c r="F453" s="10"/>
      <c r="G453" s="9"/>
    </row>
    <row r="454" spans="6:7" x14ac:dyDescent="0.3">
      <c r="F454" s="10"/>
      <c r="G454" s="9"/>
    </row>
    <row r="455" spans="6:7" x14ac:dyDescent="0.3">
      <c r="F455" s="10"/>
      <c r="G455" s="9"/>
    </row>
    <row r="456" spans="6:7" x14ac:dyDescent="0.3">
      <c r="F456" s="10"/>
      <c r="G456" s="9"/>
    </row>
    <row r="457" spans="6:7" x14ac:dyDescent="0.3">
      <c r="F457" s="10"/>
      <c r="G457" s="9"/>
    </row>
    <row r="458" spans="6:7" x14ac:dyDescent="0.3">
      <c r="F458" s="10"/>
      <c r="G458" s="9"/>
    </row>
    <row r="459" spans="6:7" x14ac:dyDescent="0.3">
      <c r="F459" s="10"/>
      <c r="G459" s="9"/>
    </row>
    <row r="460" spans="6:7" x14ac:dyDescent="0.3">
      <c r="F460" s="10"/>
      <c r="G460" s="9"/>
    </row>
    <row r="461" spans="6:7" x14ac:dyDescent="0.3">
      <c r="F461" s="10"/>
      <c r="G461" s="9"/>
    </row>
    <row r="462" spans="6:7" x14ac:dyDescent="0.3">
      <c r="F462" s="10"/>
      <c r="G462" s="9"/>
    </row>
    <row r="463" spans="6:7" x14ac:dyDescent="0.3">
      <c r="F463" s="10"/>
      <c r="G463" s="9"/>
    </row>
    <row r="464" spans="6:7" x14ac:dyDescent="0.3">
      <c r="F464" s="10"/>
      <c r="G464" s="9"/>
    </row>
    <row r="465" spans="6:7" x14ac:dyDescent="0.3">
      <c r="F465" s="10"/>
      <c r="G465" s="9"/>
    </row>
    <row r="466" spans="6:7" x14ac:dyDescent="0.3">
      <c r="F466" s="10"/>
      <c r="G466" s="9"/>
    </row>
    <row r="467" spans="6:7" x14ac:dyDescent="0.3">
      <c r="F467" s="10"/>
      <c r="G467" s="9"/>
    </row>
    <row r="468" spans="6:7" x14ac:dyDescent="0.3">
      <c r="F468" s="10"/>
      <c r="G468" s="9"/>
    </row>
    <row r="469" spans="6:7" x14ac:dyDescent="0.3">
      <c r="F469" s="10"/>
      <c r="G469" s="9"/>
    </row>
    <row r="470" spans="6:7" x14ac:dyDescent="0.3">
      <c r="F470" s="10"/>
      <c r="G470" s="9"/>
    </row>
    <row r="471" spans="6:7" x14ac:dyDescent="0.3">
      <c r="F471" s="10"/>
      <c r="G471" s="9"/>
    </row>
    <row r="472" spans="6:7" x14ac:dyDescent="0.3">
      <c r="F472" s="10"/>
      <c r="G472" s="9"/>
    </row>
    <row r="473" spans="6:7" x14ac:dyDescent="0.3">
      <c r="F473" s="10"/>
      <c r="G473" s="9"/>
    </row>
    <row r="474" spans="6:7" x14ac:dyDescent="0.3">
      <c r="F474" s="10"/>
      <c r="G474" s="9"/>
    </row>
    <row r="475" spans="6:7" x14ac:dyDescent="0.3">
      <c r="F475" s="10"/>
      <c r="G475" s="9"/>
    </row>
    <row r="476" spans="6:7" x14ac:dyDescent="0.3">
      <c r="F476" s="10"/>
      <c r="G476" s="9"/>
    </row>
    <row r="477" spans="6:7" x14ac:dyDescent="0.3">
      <c r="F477" s="10"/>
      <c r="G477" s="9"/>
    </row>
    <row r="478" spans="6:7" x14ac:dyDescent="0.3">
      <c r="F478" s="10"/>
      <c r="G478" s="9"/>
    </row>
    <row r="479" spans="6:7" x14ac:dyDescent="0.3">
      <c r="F479" s="10"/>
      <c r="G479" s="9"/>
    </row>
    <row r="480" spans="6:7" x14ac:dyDescent="0.3">
      <c r="F480" s="10"/>
      <c r="G480" s="9"/>
    </row>
    <row r="481" spans="6:7" x14ac:dyDescent="0.3">
      <c r="F481" s="10"/>
      <c r="G481" s="9"/>
    </row>
    <row r="482" spans="6:7" x14ac:dyDescent="0.3">
      <c r="F482" s="10"/>
      <c r="G482" s="9"/>
    </row>
    <row r="483" spans="6:7" x14ac:dyDescent="0.3">
      <c r="F483" s="10"/>
      <c r="G483" s="9"/>
    </row>
    <row r="484" spans="6:7" x14ac:dyDescent="0.3">
      <c r="F484" s="10"/>
      <c r="G484" s="9"/>
    </row>
    <row r="485" spans="6:7" x14ac:dyDescent="0.3">
      <c r="F485" s="10"/>
      <c r="G485" s="9"/>
    </row>
    <row r="486" spans="6:7" x14ac:dyDescent="0.3">
      <c r="F486" s="10"/>
      <c r="G486" s="9"/>
    </row>
    <row r="487" spans="6:7" x14ac:dyDescent="0.3">
      <c r="F487" s="10"/>
      <c r="G487" s="9"/>
    </row>
    <row r="488" spans="6:7" x14ac:dyDescent="0.3">
      <c r="F488" s="10"/>
      <c r="G488" s="9"/>
    </row>
    <row r="489" spans="6:7" x14ac:dyDescent="0.3">
      <c r="F489" s="10"/>
      <c r="G489" s="9"/>
    </row>
    <row r="490" spans="6:7" x14ac:dyDescent="0.3">
      <c r="F490" s="10"/>
      <c r="G490" s="9"/>
    </row>
  </sheetData>
  <hyperlinks>
    <hyperlink ref="I169" r:id="rId1" xr:uid="{00000000-0004-0000-0000-000000000000}"/>
    <hyperlink ref="I182" r:id="rId2" location="page=25.44" xr:uid="{00000000-0004-0000-0000-000001000000}"/>
    <hyperlink ref="I197" r:id="rId3" location="page=25.44" xr:uid="{00000000-0004-0000-0000-000002000000}"/>
    <hyperlink ref="I208" r:id="rId4" xr:uid="{00000000-0004-0000-0000-000003000000}"/>
    <hyperlink ref="I218" r:id="rId5" xr:uid="{00000000-0004-0000-0000-000004000000}"/>
    <hyperlink ref="I228" r:id="rId6" xr:uid="{00000000-0004-0000-0000-000005000000}"/>
    <hyperlink ref="I236" r:id="rId7" xr:uid="{00000000-0004-0000-0000-000006000000}"/>
    <hyperlink ref="I283" r:id="rId8" xr:uid="{00000000-0004-0000-0000-000007000000}"/>
    <hyperlink ref="I287" r:id="rId9" xr:uid="{00000000-0004-0000-0000-000008000000}"/>
    <hyperlink ref="I290" r:id="rId10" xr:uid="{00000000-0004-0000-0000-000009000000}"/>
    <hyperlink ref="I295" r:id="rId11" xr:uid="{00000000-0004-0000-0000-00000A000000}"/>
    <hyperlink ref="I300" r:id="rId12" location="page=3.10" xr:uid="{00000000-0004-0000-0000-00000B000000}"/>
    <hyperlink ref="I301" r:id="rId13" location="page=3.10" xr:uid="{00000000-0004-0000-0000-00000C000000}"/>
    <hyperlink ref="I306" r:id="rId14" xr:uid="{00000000-0004-0000-0000-00000D000000}"/>
    <hyperlink ref="I310" r:id="rId15" xr:uid="{00000000-0004-0000-0000-00000E000000}"/>
    <hyperlink ref="I321" r:id="rId16" xr:uid="{00000000-0004-0000-0000-00000F000000}"/>
    <hyperlink ref="I331" r:id="rId17" xr:uid="{00000000-0004-0000-0000-000010000000}"/>
    <hyperlink ref="I338" r:id="rId18" xr:uid="{00000000-0004-0000-0000-000011000000}"/>
    <hyperlink ref="I342" r:id="rId19" xr:uid="{00000000-0004-0000-0000-000012000000}"/>
    <hyperlink ref="I346" r:id="rId20" xr:uid="{00000000-0004-0000-0000-000013000000}"/>
    <hyperlink ref="I350" r:id="rId21" xr:uid="{00000000-0004-0000-0000-000014000000}"/>
    <hyperlink ref="I354" r:id="rId22" xr:uid="{00000000-0004-0000-0000-000015000000}"/>
    <hyperlink ref="I358" r:id="rId23" xr:uid="{00000000-0004-0000-0000-000016000000}"/>
    <hyperlink ref="I362" r:id="rId24" xr:uid="{00000000-0004-0000-0000-000017000000}"/>
    <hyperlink ref="I365" r:id="rId25" xr:uid="{00000000-0004-0000-0000-00001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8:O83"/>
  <sheetViews>
    <sheetView zoomScale="85" zoomScaleNormal="85" workbookViewId="0">
      <selection activeCell="I18" sqref="I18"/>
    </sheetView>
  </sheetViews>
  <sheetFormatPr defaultRowHeight="14.4" x14ac:dyDescent="0.3"/>
  <cols>
    <col min="2" max="2" width="10.109375" customWidth="1"/>
    <col min="3" max="3" width="18.88671875" customWidth="1"/>
    <col min="4" max="4" width="16.88671875" customWidth="1"/>
    <col min="5" max="5" width="17.77734375" customWidth="1"/>
    <col min="7" max="7" width="8.88671875" customWidth="1"/>
    <col min="8" max="8" width="14.77734375" customWidth="1"/>
    <col min="9" max="9" width="15.44140625" style="21" customWidth="1"/>
    <col min="10" max="10" width="18.5546875" customWidth="1"/>
    <col min="11" max="11" width="18.21875" style="21" customWidth="1"/>
    <col min="12" max="12" width="16.77734375" customWidth="1"/>
    <col min="13" max="13" width="15.21875" style="21" customWidth="1"/>
    <col min="14" max="14" width="14" customWidth="1"/>
    <col min="15" max="15" width="12.6640625" style="21" customWidth="1"/>
  </cols>
  <sheetData>
    <row r="8" spans="2:15" x14ac:dyDescent="0.3">
      <c r="C8" s="28"/>
    </row>
    <row r="12" spans="2:15" ht="15" customHeight="1" thickBot="1" x14ac:dyDescent="0.35"/>
    <row r="13" spans="2:15" x14ac:dyDescent="0.3">
      <c r="B13" s="82" t="s">
        <v>915</v>
      </c>
      <c r="C13" s="83"/>
      <c r="D13" s="83"/>
      <c r="E13" s="84"/>
      <c r="G13" s="20"/>
      <c r="H13" s="92" t="s">
        <v>916</v>
      </c>
      <c r="I13" s="93"/>
      <c r="J13" s="93"/>
      <c r="K13" s="93"/>
      <c r="L13" s="93"/>
      <c r="M13" s="93"/>
      <c r="N13" s="93"/>
      <c r="O13" s="94"/>
    </row>
    <row r="14" spans="2:15" x14ac:dyDescent="0.3">
      <c r="B14" s="85" t="s">
        <v>917</v>
      </c>
      <c r="C14" s="86"/>
      <c r="E14" s="22"/>
      <c r="G14" s="20"/>
      <c r="H14" s="42" t="s">
        <v>917</v>
      </c>
      <c r="I14" s="35"/>
      <c r="J14" s="36"/>
      <c r="K14" s="37"/>
      <c r="L14" s="36"/>
      <c r="M14" s="37"/>
      <c r="N14" s="36"/>
      <c r="O14" s="43"/>
    </row>
    <row r="15" spans="2:15" x14ac:dyDescent="0.3">
      <c r="B15" s="13" t="s">
        <v>918</v>
      </c>
      <c r="C15" s="21" t="s">
        <v>919</v>
      </c>
      <c r="E15" s="22"/>
      <c r="H15" s="44" t="s">
        <v>918</v>
      </c>
      <c r="I15" s="37">
        <v>0</v>
      </c>
      <c r="J15" s="36"/>
      <c r="K15" s="37"/>
      <c r="L15" s="36"/>
      <c r="M15" s="37"/>
      <c r="N15" s="36"/>
      <c r="O15" s="43"/>
    </row>
    <row r="16" spans="2:15" ht="15" customHeight="1" x14ac:dyDescent="0.3">
      <c r="B16" s="13" t="s">
        <v>920</v>
      </c>
      <c r="C16" s="21">
        <v>0</v>
      </c>
      <c r="E16" s="22"/>
      <c r="H16" s="44" t="s">
        <v>920</v>
      </c>
      <c r="I16" s="37">
        <v>0</v>
      </c>
      <c r="J16" s="36"/>
      <c r="K16" s="37"/>
      <c r="L16" s="36"/>
      <c r="M16" s="37"/>
      <c r="N16" s="36"/>
      <c r="O16" s="43"/>
    </row>
    <row r="17" spans="2:15" ht="15" customHeight="1" x14ac:dyDescent="0.3">
      <c r="B17" s="13" t="s">
        <v>921</v>
      </c>
      <c r="C17" s="21">
        <v>7.5999999999999998E-2</v>
      </c>
      <c r="E17" s="22"/>
      <c r="H17" s="44" t="s">
        <v>921</v>
      </c>
      <c r="I17" s="37">
        <v>7.5999999999999998E-2</v>
      </c>
      <c r="J17" s="36"/>
      <c r="K17" s="37"/>
      <c r="L17" s="36"/>
      <c r="M17" s="37"/>
      <c r="N17" s="36"/>
      <c r="O17" s="43"/>
    </row>
    <row r="18" spans="2:15" x14ac:dyDescent="0.3">
      <c r="B18" s="13" t="s">
        <v>922</v>
      </c>
      <c r="C18" s="21">
        <v>44000</v>
      </c>
      <c r="E18" s="22"/>
      <c r="H18" s="44" t="s">
        <v>922</v>
      </c>
      <c r="I18" s="37">
        <v>440000</v>
      </c>
      <c r="J18" s="36"/>
      <c r="K18" s="37"/>
      <c r="L18" s="36"/>
      <c r="M18" s="37"/>
      <c r="N18" s="36"/>
      <c r="O18" s="43"/>
    </row>
    <row r="19" spans="2:15" x14ac:dyDescent="0.3">
      <c r="B19" s="13"/>
      <c r="E19" s="22"/>
      <c r="H19" s="44" t="s">
        <v>923</v>
      </c>
      <c r="I19" s="37">
        <v>25</v>
      </c>
      <c r="J19" s="36"/>
      <c r="K19" s="37"/>
      <c r="L19" s="36"/>
      <c r="M19" s="37"/>
      <c r="N19" s="36"/>
      <c r="O19" s="43"/>
    </row>
    <row r="20" spans="2:15" x14ac:dyDescent="0.3">
      <c r="B20" s="87" t="s">
        <v>924</v>
      </c>
      <c r="C20" s="86"/>
      <c r="D20" s="86"/>
      <c r="E20" s="88"/>
      <c r="H20" s="44" t="s">
        <v>925</v>
      </c>
      <c r="I20" s="37">
        <v>0.90900000000000003</v>
      </c>
      <c r="J20" s="36"/>
      <c r="K20" s="37"/>
      <c r="L20" s="36"/>
      <c r="M20" s="37"/>
      <c r="N20" s="36"/>
      <c r="O20" s="43"/>
    </row>
    <row r="21" spans="2:15" ht="15" customHeight="1" x14ac:dyDescent="0.3">
      <c r="B21" s="25" t="s">
        <v>918</v>
      </c>
      <c r="C21" s="27" t="s">
        <v>926</v>
      </c>
      <c r="D21" s="27" t="s">
        <v>927</v>
      </c>
      <c r="E21" s="24" t="s">
        <v>928</v>
      </c>
      <c r="H21" s="44"/>
      <c r="I21" s="37"/>
      <c r="J21" s="36"/>
      <c r="K21" s="37"/>
      <c r="L21" s="36"/>
      <c r="M21" s="37"/>
      <c r="N21" s="36"/>
      <c r="O21" s="43"/>
    </row>
    <row r="22" spans="2:15" ht="15" customHeight="1" x14ac:dyDescent="0.3">
      <c r="B22" s="30">
        <v>-5</v>
      </c>
      <c r="C22" s="29"/>
      <c r="D22" s="29"/>
      <c r="E22" s="31"/>
      <c r="H22" s="89"/>
      <c r="I22" s="90"/>
      <c r="J22" s="90"/>
      <c r="K22" s="90"/>
      <c r="L22" s="90"/>
      <c r="M22" s="90"/>
      <c r="N22" s="90"/>
      <c r="O22" s="91"/>
    </row>
    <row r="23" spans="2:15" x14ac:dyDescent="0.3">
      <c r="B23" s="30">
        <v>-4</v>
      </c>
      <c r="C23" s="29"/>
      <c r="D23" s="29"/>
      <c r="E23" s="31"/>
      <c r="H23" s="45" t="s">
        <v>929</v>
      </c>
      <c r="I23" s="35" t="s">
        <v>5</v>
      </c>
      <c r="J23" s="35" t="s">
        <v>929</v>
      </c>
      <c r="K23" s="35" t="s">
        <v>5</v>
      </c>
      <c r="L23" s="35" t="s">
        <v>929</v>
      </c>
      <c r="M23" s="35" t="s">
        <v>5</v>
      </c>
      <c r="N23" s="35" t="s">
        <v>929</v>
      </c>
      <c r="O23" s="46" t="s">
        <v>5</v>
      </c>
    </row>
    <row r="24" spans="2:15" x14ac:dyDescent="0.3">
      <c r="B24" s="30">
        <v>-3</v>
      </c>
      <c r="C24" s="29"/>
      <c r="D24" s="29"/>
      <c r="E24" s="31"/>
      <c r="H24" s="44" t="s">
        <v>930</v>
      </c>
      <c r="I24" s="40"/>
      <c r="J24" s="36" t="s">
        <v>931</v>
      </c>
      <c r="K24" s="40"/>
      <c r="L24" s="36" t="s">
        <v>932</v>
      </c>
      <c r="M24" s="40"/>
      <c r="N24" s="36" t="s">
        <v>933</v>
      </c>
      <c r="O24" s="47"/>
    </row>
    <row r="25" spans="2:15" x14ac:dyDescent="0.3">
      <c r="B25" s="30">
        <v>-2</v>
      </c>
      <c r="C25" s="29"/>
      <c r="D25" s="29"/>
      <c r="E25" s="31"/>
      <c r="H25" s="44" t="s">
        <v>97</v>
      </c>
      <c r="I25" s="41"/>
      <c r="J25" s="36" t="s">
        <v>934</v>
      </c>
      <c r="K25" s="41"/>
      <c r="L25" s="36" t="s">
        <v>935</v>
      </c>
      <c r="M25" s="41"/>
      <c r="N25" s="36" t="s">
        <v>936</v>
      </c>
      <c r="O25" s="48"/>
    </row>
    <row r="26" spans="2:15" x14ac:dyDescent="0.3">
      <c r="B26" s="30">
        <v>-1</v>
      </c>
      <c r="C26" s="29"/>
      <c r="D26" s="29"/>
      <c r="E26" s="31"/>
      <c r="H26" s="44" t="s">
        <v>937</v>
      </c>
      <c r="I26" s="40"/>
      <c r="J26" s="36" t="s">
        <v>938</v>
      </c>
      <c r="K26" s="40"/>
      <c r="L26" s="36" t="s">
        <v>939</v>
      </c>
      <c r="M26" s="40"/>
      <c r="N26" s="36" t="s">
        <v>940</v>
      </c>
      <c r="O26" s="47"/>
    </row>
    <row r="27" spans="2:15" x14ac:dyDescent="0.3">
      <c r="B27" s="30">
        <v>0</v>
      </c>
      <c r="C27" s="29"/>
      <c r="D27" s="29"/>
      <c r="E27" s="31"/>
      <c r="H27" s="44" t="s">
        <v>941</v>
      </c>
      <c r="I27" s="41"/>
      <c r="J27" s="36" t="s">
        <v>942</v>
      </c>
      <c r="K27" s="41"/>
      <c r="L27" s="36" t="s">
        <v>943</v>
      </c>
      <c r="M27" s="41"/>
      <c r="N27" s="36" t="s">
        <v>944</v>
      </c>
      <c r="O27" s="48"/>
    </row>
    <row r="28" spans="2:15" x14ac:dyDescent="0.3">
      <c r="B28" s="30">
        <v>1</v>
      </c>
      <c r="C28" s="29"/>
      <c r="D28" s="29"/>
      <c r="E28" s="31"/>
      <c r="H28" s="44" t="s">
        <v>945</v>
      </c>
      <c r="I28" s="40"/>
      <c r="J28" s="36" t="s">
        <v>946</v>
      </c>
      <c r="K28" s="40"/>
      <c r="L28" s="36" t="s">
        <v>947</v>
      </c>
      <c r="M28" s="40"/>
      <c r="N28" s="36" t="s">
        <v>948</v>
      </c>
      <c r="O28" s="47"/>
    </row>
    <row r="29" spans="2:15" ht="15" customHeight="1" x14ac:dyDescent="0.3">
      <c r="B29" s="30">
        <v>2</v>
      </c>
      <c r="C29" s="29"/>
      <c r="D29" s="29"/>
      <c r="E29" s="31"/>
      <c r="H29" s="44" t="s">
        <v>949</v>
      </c>
      <c r="I29" s="41"/>
      <c r="J29" s="36" t="s">
        <v>950</v>
      </c>
      <c r="K29" s="41"/>
      <c r="L29" s="36" t="s">
        <v>951</v>
      </c>
      <c r="M29" s="41"/>
      <c r="N29" s="36" t="s">
        <v>952</v>
      </c>
      <c r="O29" s="48"/>
    </row>
    <row r="30" spans="2:15" ht="15" customHeight="1" x14ac:dyDescent="0.3">
      <c r="B30" s="30">
        <v>3</v>
      </c>
      <c r="C30" s="29"/>
      <c r="D30" s="29"/>
      <c r="E30" s="31"/>
      <c r="H30" s="44" t="s">
        <v>953</v>
      </c>
      <c r="I30" s="40"/>
      <c r="J30" s="36"/>
      <c r="K30" s="37"/>
      <c r="L30" s="36"/>
      <c r="M30" s="37"/>
      <c r="N30" s="36"/>
      <c r="O30" s="43"/>
    </row>
    <row r="31" spans="2:15" ht="15" customHeight="1" x14ac:dyDescent="0.3">
      <c r="B31" s="30">
        <v>4</v>
      </c>
      <c r="C31" s="29"/>
      <c r="D31" s="29"/>
      <c r="E31" s="31"/>
      <c r="H31" s="44" t="s">
        <v>954</v>
      </c>
      <c r="I31" s="41"/>
      <c r="J31" s="36"/>
      <c r="K31" s="37"/>
      <c r="L31" s="36"/>
      <c r="M31" s="37"/>
      <c r="N31" s="36"/>
      <c r="O31" s="43"/>
    </row>
    <row r="32" spans="2:15" x14ac:dyDescent="0.3">
      <c r="B32" s="30">
        <v>5</v>
      </c>
      <c r="C32" s="29"/>
      <c r="D32" s="29"/>
      <c r="E32" s="31"/>
      <c r="H32" s="44" t="s">
        <v>955</v>
      </c>
      <c r="I32" s="40"/>
      <c r="J32" s="36"/>
      <c r="K32" s="37"/>
      <c r="L32" s="38"/>
      <c r="M32" s="37"/>
      <c r="N32" s="36"/>
      <c r="O32" s="43"/>
    </row>
    <row r="33" spans="2:15" ht="15" customHeight="1" x14ac:dyDescent="0.3">
      <c r="B33" s="30">
        <v>6</v>
      </c>
      <c r="C33" s="29"/>
      <c r="D33" s="29"/>
      <c r="E33" s="31"/>
      <c r="H33" s="44" t="s">
        <v>956</v>
      </c>
      <c r="I33" s="41"/>
      <c r="J33" s="36"/>
      <c r="K33" s="37"/>
      <c r="L33" s="39"/>
      <c r="M33" s="37"/>
      <c r="N33" s="36"/>
      <c r="O33" s="43"/>
    </row>
    <row r="34" spans="2:15" ht="15" customHeight="1" x14ac:dyDescent="0.3">
      <c r="B34" s="30">
        <v>7</v>
      </c>
      <c r="C34" s="29"/>
      <c r="D34" s="29"/>
      <c r="E34" s="31"/>
      <c r="H34" s="44" t="s">
        <v>957</v>
      </c>
      <c r="I34" s="40"/>
      <c r="J34" s="36"/>
      <c r="K34" s="37"/>
      <c r="L34" s="38"/>
      <c r="M34" s="37"/>
      <c r="N34" s="36"/>
      <c r="O34" s="43"/>
    </row>
    <row r="35" spans="2:15" ht="15" customHeight="1" x14ac:dyDescent="0.3">
      <c r="B35" s="30">
        <v>8</v>
      </c>
      <c r="C35" s="29"/>
      <c r="D35" s="29"/>
      <c r="E35" s="31"/>
      <c r="H35" s="44" t="s">
        <v>958</v>
      </c>
      <c r="I35" s="41"/>
      <c r="J35" s="36"/>
      <c r="K35" s="37"/>
      <c r="L35" s="39"/>
      <c r="M35" s="37"/>
      <c r="N35" s="36"/>
      <c r="O35" s="43"/>
    </row>
    <row r="36" spans="2:15" x14ac:dyDescent="0.3">
      <c r="B36" s="30">
        <v>9</v>
      </c>
      <c r="C36" s="29"/>
      <c r="D36" s="29"/>
      <c r="E36" s="31"/>
      <c r="H36" s="44" t="s">
        <v>959</v>
      </c>
      <c r="I36" s="40"/>
      <c r="J36" s="36"/>
      <c r="K36" s="37"/>
      <c r="L36" s="38"/>
      <c r="M36" s="37"/>
      <c r="N36" s="36"/>
      <c r="O36" s="43"/>
    </row>
    <row r="37" spans="2:15" ht="15" customHeight="1" thickBot="1" x14ac:dyDescent="0.35">
      <c r="B37" s="32">
        <v>10</v>
      </c>
      <c r="C37" s="33"/>
      <c r="D37" s="33"/>
      <c r="E37" s="34"/>
      <c r="H37" s="44" t="s">
        <v>960</v>
      </c>
      <c r="I37" s="41"/>
      <c r="J37" s="36"/>
      <c r="K37" s="37"/>
      <c r="L37" s="39"/>
      <c r="M37" s="37"/>
      <c r="N37" s="36"/>
      <c r="O37" s="43"/>
    </row>
    <row r="38" spans="2:15" x14ac:dyDescent="0.3">
      <c r="H38" s="44" t="s">
        <v>961</v>
      </c>
      <c r="I38" s="40"/>
      <c r="J38" s="36"/>
      <c r="K38" s="40"/>
      <c r="L38" s="38"/>
      <c r="M38" s="37"/>
      <c r="N38" s="36"/>
      <c r="O38" s="43"/>
    </row>
    <row r="39" spans="2:15" ht="15" customHeight="1" x14ac:dyDescent="0.3">
      <c r="H39" s="44" t="s">
        <v>962</v>
      </c>
      <c r="I39" s="41"/>
      <c r="J39" s="36"/>
      <c r="K39" s="41"/>
      <c r="L39" s="39"/>
      <c r="M39" s="37"/>
      <c r="N39" s="36"/>
      <c r="O39" s="43"/>
    </row>
    <row r="40" spans="2:15" ht="15" customHeight="1" x14ac:dyDescent="0.3">
      <c r="H40" s="44" t="s">
        <v>963</v>
      </c>
      <c r="I40" s="40"/>
      <c r="J40" s="36"/>
      <c r="K40" s="40"/>
      <c r="L40" s="38"/>
      <c r="M40" s="37"/>
      <c r="N40" s="36"/>
      <c r="O40" s="43"/>
    </row>
    <row r="41" spans="2:15" x14ac:dyDescent="0.3">
      <c r="H41" s="44" t="s">
        <v>964</v>
      </c>
      <c r="I41" s="41"/>
      <c r="J41" s="36"/>
      <c r="K41" s="41"/>
      <c r="L41" s="39"/>
      <c r="M41" s="37"/>
      <c r="N41" s="36"/>
      <c r="O41" s="43"/>
    </row>
    <row r="42" spans="2:15" x14ac:dyDescent="0.3">
      <c r="H42" s="44" t="s">
        <v>965</v>
      </c>
      <c r="I42" s="40"/>
      <c r="J42" s="36"/>
      <c r="K42" s="40"/>
      <c r="L42" s="38"/>
      <c r="M42" s="37"/>
      <c r="N42" s="36"/>
      <c r="O42" s="43"/>
    </row>
    <row r="43" spans="2:15" x14ac:dyDescent="0.3">
      <c r="H43" s="44" t="s">
        <v>966</v>
      </c>
      <c r="I43" s="41"/>
      <c r="J43" s="36"/>
      <c r="K43" s="41"/>
      <c r="L43" s="39"/>
      <c r="M43" s="37"/>
      <c r="N43" s="36"/>
      <c r="O43" s="43"/>
    </row>
    <row r="44" spans="2:15" x14ac:dyDescent="0.3">
      <c r="H44" s="44" t="s">
        <v>967</v>
      </c>
      <c r="I44" s="40"/>
      <c r="J44" s="36"/>
      <c r="K44" s="40"/>
      <c r="L44" s="38"/>
      <c r="M44" s="37"/>
      <c r="N44" s="36"/>
      <c r="O44" s="43"/>
    </row>
    <row r="45" spans="2:15" x14ac:dyDescent="0.3">
      <c r="H45" s="44" t="s">
        <v>968</v>
      </c>
      <c r="I45" s="41"/>
      <c r="J45" s="36"/>
      <c r="K45" s="41"/>
      <c r="L45" s="39"/>
      <c r="M45" s="37"/>
      <c r="N45" s="36"/>
      <c r="O45" s="43"/>
    </row>
    <row r="46" spans="2:15" x14ac:dyDescent="0.3">
      <c r="H46" s="44" t="s">
        <v>969</v>
      </c>
      <c r="I46" s="40"/>
      <c r="J46" s="36"/>
      <c r="K46" s="40"/>
      <c r="L46" s="38"/>
      <c r="M46" s="37"/>
      <c r="N46" s="36"/>
      <c r="O46" s="43"/>
    </row>
    <row r="47" spans="2:15" x14ac:dyDescent="0.3">
      <c r="H47" s="44" t="s">
        <v>970</v>
      </c>
      <c r="I47" s="41"/>
      <c r="J47" s="36"/>
      <c r="K47" s="41"/>
      <c r="L47" s="39"/>
      <c r="M47" s="37"/>
      <c r="N47" s="36"/>
      <c r="O47" s="43"/>
    </row>
    <row r="48" spans="2:15" x14ac:dyDescent="0.3">
      <c r="H48" s="44" t="s">
        <v>971</v>
      </c>
      <c r="I48" s="40"/>
      <c r="J48" s="36"/>
      <c r="K48" s="40"/>
      <c r="L48" s="38"/>
      <c r="M48" s="37"/>
      <c r="N48" s="36"/>
      <c r="O48" s="43"/>
    </row>
    <row r="49" spans="8:15" x14ac:dyDescent="0.3">
      <c r="H49" s="44" t="s">
        <v>972</v>
      </c>
      <c r="I49" s="41"/>
      <c r="J49" s="36"/>
      <c r="K49" s="41"/>
      <c r="L49" s="39"/>
      <c r="M49" s="37"/>
      <c r="N49" s="36"/>
      <c r="O49" s="43"/>
    </row>
    <row r="50" spans="8:15" x14ac:dyDescent="0.3">
      <c r="H50" s="44" t="s">
        <v>973</v>
      </c>
      <c r="I50" s="40"/>
      <c r="J50" s="36"/>
      <c r="K50" s="40"/>
      <c r="L50" s="36"/>
      <c r="M50" s="37"/>
      <c r="N50" s="36"/>
      <c r="O50" s="43"/>
    </row>
    <row r="51" spans="8:15" x14ac:dyDescent="0.3">
      <c r="H51" s="44" t="s">
        <v>974</v>
      </c>
      <c r="I51" s="41"/>
      <c r="J51" s="36"/>
      <c r="K51" s="41"/>
      <c r="L51" s="36"/>
      <c r="M51" s="37"/>
      <c r="N51" s="36"/>
      <c r="O51" s="43"/>
    </row>
    <row r="52" spans="8:15" x14ac:dyDescent="0.3">
      <c r="H52" s="44" t="s">
        <v>975</v>
      </c>
      <c r="I52" s="40"/>
      <c r="J52" s="36"/>
      <c r="K52" s="40"/>
      <c r="L52" s="36"/>
      <c r="M52" s="37"/>
      <c r="N52" s="36"/>
      <c r="O52" s="43"/>
    </row>
    <row r="53" spans="8:15" x14ac:dyDescent="0.3">
      <c r="H53" s="44" t="s">
        <v>976</v>
      </c>
      <c r="I53" s="41"/>
      <c r="J53" s="36"/>
      <c r="K53" s="41"/>
      <c r="L53" s="36"/>
      <c r="M53" s="37"/>
      <c r="N53" s="36"/>
      <c r="O53" s="43"/>
    </row>
    <row r="54" spans="8:15" x14ac:dyDescent="0.3">
      <c r="H54" s="44" t="s">
        <v>977</v>
      </c>
      <c r="I54" s="40"/>
      <c r="J54" s="36"/>
      <c r="K54" s="40"/>
      <c r="L54" s="36"/>
      <c r="M54" s="37"/>
      <c r="N54" s="36"/>
      <c r="O54" s="43"/>
    </row>
    <row r="55" spans="8:15" x14ac:dyDescent="0.3">
      <c r="H55" s="44" t="s">
        <v>978</v>
      </c>
      <c r="I55" s="41"/>
      <c r="J55" s="36"/>
      <c r="K55" s="41"/>
      <c r="L55" s="36"/>
      <c r="M55" s="37"/>
      <c r="N55" s="36"/>
      <c r="O55" s="43"/>
    </row>
    <row r="56" spans="8:15" x14ac:dyDescent="0.3">
      <c r="H56" s="44" t="s">
        <v>979</v>
      </c>
      <c r="I56" s="40"/>
      <c r="J56" s="36"/>
      <c r="K56" s="37"/>
      <c r="L56" s="36"/>
      <c r="M56" s="37"/>
      <c r="N56" s="36"/>
      <c r="O56" s="43"/>
    </row>
    <row r="57" spans="8:15" x14ac:dyDescent="0.3">
      <c r="H57" s="44" t="s">
        <v>980</v>
      </c>
      <c r="I57" s="41"/>
      <c r="J57" s="36"/>
      <c r="K57" s="37"/>
      <c r="L57" s="36"/>
      <c r="M57" s="37"/>
      <c r="N57" s="36"/>
      <c r="O57" s="43"/>
    </row>
    <row r="58" spans="8:15" x14ac:dyDescent="0.3">
      <c r="H58" s="44" t="s">
        <v>981</v>
      </c>
      <c r="I58" s="40"/>
      <c r="J58" s="36"/>
      <c r="K58" s="37"/>
      <c r="L58" s="36"/>
      <c r="M58" s="37"/>
      <c r="N58" s="36"/>
      <c r="O58" s="43"/>
    </row>
    <row r="59" spans="8:15" x14ac:dyDescent="0.3">
      <c r="H59" s="44" t="s">
        <v>982</v>
      </c>
      <c r="I59" s="41"/>
      <c r="J59" s="36"/>
      <c r="K59" s="37"/>
      <c r="L59" s="36"/>
      <c r="M59" s="37"/>
      <c r="N59" s="36"/>
      <c r="O59" s="43"/>
    </row>
    <row r="60" spans="8:15" x14ac:dyDescent="0.3">
      <c r="H60" s="44" t="s">
        <v>983</v>
      </c>
      <c r="I60" s="40"/>
      <c r="J60" s="36"/>
      <c r="K60" s="37"/>
      <c r="L60" s="36"/>
      <c r="M60" s="37"/>
      <c r="N60" s="36"/>
      <c r="O60" s="43"/>
    </row>
    <row r="61" spans="8:15" x14ac:dyDescent="0.3">
      <c r="H61" s="44" t="s">
        <v>984</v>
      </c>
      <c r="I61" s="41"/>
      <c r="J61" s="36"/>
      <c r="K61" s="37"/>
      <c r="L61" s="36"/>
      <c r="M61" s="37"/>
      <c r="N61" s="36"/>
      <c r="O61" s="43"/>
    </row>
    <row r="62" spans="8:15" x14ac:dyDescent="0.3">
      <c r="H62" s="44" t="s">
        <v>985</v>
      </c>
      <c r="I62" s="40"/>
      <c r="J62" s="36"/>
      <c r="K62" s="37"/>
      <c r="L62" s="36"/>
      <c r="M62" s="37"/>
      <c r="N62" s="36"/>
      <c r="O62" s="43"/>
    </row>
    <row r="63" spans="8:15" x14ac:dyDescent="0.3">
      <c r="H63" s="44" t="s">
        <v>986</v>
      </c>
      <c r="I63" s="41"/>
      <c r="J63" s="36"/>
      <c r="K63" s="37"/>
      <c r="L63" s="36"/>
      <c r="M63" s="37"/>
      <c r="N63" s="36"/>
      <c r="O63" s="43"/>
    </row>
    <row r="64" spans="8:15" ht="15" customHeight="1" x14ac:dyDescent="0.3">
      <c r="H64" s="44" t="s">
        <v>987</v>
      </c>
      <c r="I64" s="40"/>
      <c r="J64" s="36"/>
      <c r="K64" s="37"/>
      <c r="L64" s="36"/>
      <c r="M64" s="37"/>
      <c r="N64" s="36"/>
      <c r="O64" s="43"/>
    </row>
    <row r="65" spans="8:15" x14ac:dyDescent="0.3">
      <c r="H65" s="44" t="s">
        <v>988</v>
      </c>
      <c r="I65" s="41"/>
      <c r="J65" s="36"/>
      <c r="K65" s="37"/>
      <c r="L65" s="36"/>
      <c r="M65" s="37"/>
      <c r="N65" s="36"/>
      <c r="O65" s="43"/>
    </row>
    <row r="66" spans="8:15" x14ac:dyDescent="0.3">
      <c r="H66" s="44" t="s">
        <v>989</v>
      </c>
      <c r="I66" s="40"/>
      <c r="J66" s="36"/>
      <c r="K66" s="37"/>
      <c r="L66" s="36"/>
      <c r="M66" s="37"/>
      <c r="N66" s="36"/>
      <c r="O66" s="43"/>
    </row>
    <row r="67" spans="8:15" x14ac:dyDescent="0.3">
      <c r="H67" s="44" t="s">
        <v>990</v>
      </c>
      <c r="I67" s="41"/>
      <c r="J67" s="36"/>
      <c r="K67" s="37"/>
      <c r="L67" s="36"/>
      <c r="M67" s="37"/>
      <c r="N67" s="36"/>
      <c r="O67" s="43"/>
    </row>
    <row r="68" spans="8:15" x14ac:dyDescent="0.3">
      <c r="H68" s="44" t="s">
        <v>991</v>
      </c>
      <c r="I68" s="40"/>
      <c r="J68" s="36"/>
      <c r="K68" s="37"/>
      <c r="L68" s="36"/>
      <c r="M68" s="37"/>
      <c r="N68" s="36"/>
      <c r="O68" s="43"/>
    </row>
    <row r="69" spans="8:15" x14ac:dyDescent="0.3">
      <c r="H69" s="44" t="s">
        <v>992</v>
      </c>
      <c r="I69" s="41"/>
      <c r="J69" s="36"/>
      <c r="K69" s="37"/>
      <c r="L69" s="36"/>
      <c r="M69" s="37"/>
      <c r="N69" s="36"/>
      <c r="O69" s="43"/>
    </row>
    <row r="70" spans="8:15" x14ac:dyDescent="0.3">
      <c r="H70" s="44" t="s">
        <v>993</v>
      </c>
      <c r="I70" s="40"/>
      <c r="J70" s="36"/>
      <c r="K70" s="37"/>
      <c r="L70" s="36"/>
      <c r="M70" s="37"/>
      <c r="N70" s="36"/>
      <c r="O70" s="43"/>
    </row>
    <row r="71" spans="8:15" x14ac:dyDescent="0.3">
      <c r="H71" s="44" t="s">
        <v>994</v>
      </c>
      <c r="I71" s="41"/>
      <c r="J71" s="36"/>
      <c r="K71" s="37"/>
      <c r="L71" s="36"/>
      <c r="M71" s="37"/>
      <c r="N71" s="36"/>
      <c r="O71" s="43"/>
    </row>
    <row r="72" spans="8:15" x14ac:dyDescent="0.3">
      <c r="H72" s="44" t="s">
        <v>995</v>
      </c>
      <c r="I72" s="40"/>
      <c r="J72" s="36"/>
      <c r="K72" s="37"/>
      <c r="L72" s="36"/>
      <c r="M72" s="37"/>
      <c r="N72" s="36"/>
      <c r="O72" s="43"/>
    </row>
    <row r="73" spans="8:15" x14ac:dyDescent="0.3">
      <c r="H73" s="44" t="s">
        <v>996</v>
      </c>
      <c r="I73" s="41"/>
      <c r="J73" s="36"/>
      <c r="K73" s="37"/>
      <c r="L73" s="36"/>
      <c r="M73" s="37"/>
      <c r="N73" s="36"/>
      <c r="O73" s="43"/>
    </row>
    <row r="74" spans="8:15" x14ac:dyDescent="0.3">
      <c r="H74" s="44" t="s">
        <v>997</v>
      </c>
      <c r="I74" s="40"/>
      <c r="J74" s="36"/>
      <c r="K74" s="37"/>
      <c r="L74" s="36"/>
      <c r="M74" s="37"/>
      <c r="N74" s="36"/>
      <c r="O74" s="43"/>
    </row>
    <row r="75" spans="8:15" x14ac:dyDescent="0.3">
      <c r="H75" s="44" t="s">
        <v>998</v>
      </c>
      <c r="I75" s="41"/>
      <c r="J75" s="36"/>
      <c r="K75" s="37"/>
      <c r="L75" s="36"/>
      <c r="M75" s="37"/>
      <c r="N75" s="36"/>
      <c r="O75" s="43"/>
    </row>
    <row r="76" spans="8:15" x14ac:dyDescent="0.3">
      <c r="H76" s="44" t="s">
        <v>999</v>
      </c>
      <c r="I76" s="40"/>
      <c r="J76" s="36"/>
      <c r="K76" s="37"/>
      <c r="L76" s="36"/>
      <c r="M76" s="37"/>
      <c r="N76" s="36"/>
      <c r="O76" s="43"/>
    </row>
    <row r="77" spans="8:15" x14ac:dyDescent="0.3">
      <c r="H77" s="44" t="s">
        <v>1000</v>
      </c>
      <c r="I77" s="41"/>
      <c r="J77" s="36"/>
      <c r="K77" s="37"/>
      <c r="L77" s="36"/>
      <c r="M77" s="37"/>
      <c r="N77" s="36"/>
      <c r="O77" s="43"/>
    </row>
    <row r="78" spans="8:15" x14ac:dyDescent="0.3">
      <c r="H78" s="44" t="s">
        <v>1001</v>
      </c>
      <c r="I78" s="40"/>
      <c r="J78" s="36"/>
      <c r="K78" s="37"/>
      <c r="L78" s="36"/>
      <c r="M78" s="37"/>
      <c r="N78" s="36"/>
      <c r="O78" s="43"/>
    </row>
    <row r="79" spans="8:15" x14ac:dyDescent="0.3">
      <c r="H79" s="44" t="s">
        <v>1002</v>
      </c>
      <c r="I79" s="41"/>
      <c r="J79" s="36"/>
      <c r="K79" s="37"/>
      <c r="L79" s="36"/>
      <c r="M79" s="37"/>
      <c r="N79" s="36"/>
      <c r="O79" s="43"/>
    </row>
    <row r="80" spans="8:15" x14ac:dyDescent="0.3">
      <c r="H80" s="44" t="s">
        <v>1003</v>
      </c>
      <c r="I80" s="40"/>
      <c r="J80" s="36"/>
      <c r="K80" s="37"/>
      <c r="L80" s="36"/>
      <c r="M80" s="37"/>
      <c r="N80" s="36"/>
      <c r="O80" s="43"/>
    </row>
    <row r="81" spans="8:15" x14ac:dyDescent="0.3">
      <c r="H81" s="44" t="s">
        <v>1004</v>
      </c>
      <c r="I81" s="41"/>
      <c r="J81" s="36"/>
      <c r="K81" s="37"/>
      <c r="L81" s="36"/>
      <c r="M81" s="37"/>
      <c r="N81" s="36"/>
      <c r="O81" s="43"/>
    </row>
    <row r="82" spans="8:15" x14ac:dyDescent="0.3">
      <c r="H82" s="44" t="s">
        <v>1005</v>
      </c>
      <c r="I82" s="40"/>
      <c r="J82" s="36"/>
      <c r="K82" s="37"/>
      <c r="L82" s="36"/>
      <c r="M82" s="37"/>
      <c r="N82" s="36"/>
      <c r="O82" s="43"/>
    </row>
    <row r="83" spans="8:15" ht="15" customHeight="1" thickBot="1" x14ac:dyDescent="0.35">
      <c r="H83" s="49" t="s">
        <v>1006</v>
      </c>
      <c r="I83" s="50"/>
      <c r="J83" s="51"/>
      <c r="K83" s="52"/>
      <c r="L83" s="51"/>
      <c r="M83" s="52"/>
      <c r="N83" s="51"/>
      <c r="O83" s="53"/>
    </row>
  </sheetData>
  <mergeCells count="5">
    <mergeCell ref="B13:E13"/>
    <mergeCell ref="B14:C14"/>
    <mergeCell ref="B20:E20"/>
    <mergeCell ref="H22:O22"/>
    <mergeCell ref="H13:O1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87"/>
  <sheetViews>
    <sheetView zoomScaleNormal="100" workbookViewId="0">
      <selection activeCell="C4" sqref="C4"/>
    </sheetView>
  </sheetViews>
  <sheetFormatPr defaultRowHeight="14.4" x14ac:dyDescent="0.3"/>
  <cols>
    <col min="2" max="2" width="37.77734375" customWidth="1"/>
    <col min="3" max="3" width="33.109375" customWidth="1"/>
    <col min="4" max="4" width="20.6640625" bestFit="1" customWidth="1"/>
    <col min="5" max="5" width="28.21875" bestFit="1" customWidth="1"/>
    <col min="6" max="6" width="29" customWidth="1"/>
    <col min="7" max="7" width="22.6640625" customWidth="1"/>
    <col min="8" max="8" width="20.21875" customWidth="1"/>
    <col min="11" max="11" width="23.6640625" customWidth="1"/>
    <col min="12" max="12" width="16.21875" customWidth="1"/>
    <col min="13" max="13" width="16.77734375" customWidth="1"/>
    <col min="14" max="14" width="17.5546875" customWidth="1"/>
    <col min="15" max="15" width="21.6640625" customWidth="1"/>
    <col min="16" max="16" width="24.33203125" customWidth="1"/>
    <col min="17" max="17" width="118.33203125" customWidth="1"/>
    <col min="18" max="18" width="13.6640625" customWidth="1"/>
  </cols>
  <sheetData>
    <row r="2" spans="2:18" ht="15" customHeight="1" thickBot="1" x14ac:dyDescent="0.35"/>
    <row r="3" spans="2:18" ht="15.6" customHeight="1" x14ac:dyDescent="0.3">
      <c r="B3" s="58" t="s">
        <v>1007</v>
      </c>
      <c r="C3" s="59">
        <f>SUM(G8:G35) / (1-0.35)</f>
        <v>23.55153846153846</v>
      </c>
      <c r="D3" s="55"/>
    </row>
    <row r="4" spans="2:18" ht="15.6" customHeight="1" thickBot="1" x14ac:dyDescent="0.35">
      <c r="B4" s="60" t="s">
        <v>1008</v>
      </c>
      <c r="C4" s="61">
        <f>SUM(H8:H36)</f>
        <v>32359.491153846149</v>
      </c>
      <c r="D4" s="55"/>
    </row>
    <row r="5" spans="2:18" ht="16.2" customHeight="1" thickBot="1" x14ac:dyDescent="0.35">
      <c r="B5" s="55"/>
      <c r="C5" s="55"/>
      <c r="D5" s="55"/>
    </row>
    <row r="6" spans="2:18" ht="18" customHeight="1" x14ac:dyDescent="0.35">
      <c r="B6" s="95" t="s">
        <v>1009</v>
      </c>
      <c r="C6" s="83"/>
      <c r="D6" s="83"/>
      <c r="E6" s="83"/>
      <c r="F6" s="83"/>
      <c r="G6" s="83"/>
      <c r="H6" s="84"/>
      <c r="K6" s="95" t="s">
        <v>1010</v>
      </c>
      <c r="L6" s="83"/>
      <c r="M6" s="83"/>
      <c r="N6" s="83"/>
      <c r="O6" s="83"/>
      <c r="P6" s="83"/>
      <c r="Q6" s="83"/>
      <c r="R6" s="84"/>
    </row>
    <row r="7" spans="2:18" ht="15.6" customHeight="1" x14ac:dyDescent="0.3">
      <c r="B7" s="57" t="s">
        <v>1011</v>
      </c>
      <c r="C7" s="55" t="s">
        <v>1012</v>
      </c>
      <c r="D7" s="55" t="s">
        <v>1013</v>
      </c>
      <c r="E7" s="55" t="s">
        <v>1014</v>
      </c>
      <c r="F7" s="55" t="s">
        <v>1015</v>
      </c>
      <c r="G7" s="55" t="s">
        <v>1016</v>
      </c>
      <c r="H7" s="56" t="s">
        <v>1017</v>
      </c>
      <c r="K7" s="97" t="s">
        <v>1018</v>
      </c>
      <c r="L7" s="86"/>
      <c r="M7" s="96" t="s">
        <v>1019</v>
      </c>
      <c r="N7" s="86"/>
      <c r="O7" s="96" t="s">
        <v>1020</v>
      </c>
      <c r="P7" s="86"/>
      <c r="Q7" s="98" t="s">
        <v>1021</v>
      </c>
      <c r="R7" s="88"/>
    </row>
    <row r="8" spans="2:18" x14ac:dyDescent="0.3">
      <c r="B8" s="14" t="s">
        <v>1022</v>
      </c>
      <c r="C8" s="21">
        <v>2</v>
      </c>
      <c r="D8" s="21"/>
      <c r="E8" s="21">
        <v>0.104</v>
      </c>
      <c r="F8" s="21">
        <v>135.44999999999999</v>
      </c>
      <c r="G8" s="21">
        <f t="shared" ref="G8:G36" si="0">C8*E8</f>
        <v>0.20799999999999999</v>
      </c>
      <c r="H8" s="16">
        <f t="shared" ref="H8:H33" si="1">C8*F8</f>
        <v>270.89999999999998</v>
      </c>
      <c r="K8" s="76" t="s">
        <v>1023</v>
      </c>
      <c r="L8" s="75" t="s">
        <v>5</v>
      </c>
      <c r="M8" s="75" t="s">
        <v>1023</v>
      </c>
      <c r="N8" s="75" t="s">
        <v>5</v>
      </c>
      <c r="O8" s="75" t="s">
        <v>1023</v>
      </c>
      <c r="P8" s="75" t="s">
        <v>5</v>
      </c>
      <c r="Q8" s="75" t="s">
        <v>1023</v>
      </c>
      <c r="R8" s="77" t="s">
        <v>1024</v>
      </c>
    </row>
    <row r="9" spans="2:18" x14ac:dyDescent="0.3">
      <c r="B9" s="14" t="s">
        <v>1025</v>
      </c>
      <c r="C9" s="21">
        <v>2</v>
      </c>
      <c r="D9" s="21"/>
      <c r="E9" s="21">
        <v>0.104</v>
      </c>
      <c r="F9" s="21">
        <v>135.44999999999999</v>
      </c>
      <c r="G9" s="21">
        <f t="shared" si="0"/>
        <v>0.20799999999999999</v>
      </c>
      <c r="H9" s="16">
        <f t="shared" si="1"/>
        <v>270.89999999999998</v>
      </c>
      <c r="K9" s="13" t="s">
        <v>142</v>
      </c>
      <c r="L9" s="21">
        <v>1.56</v>
      </c>
      <c r="M9" s="54" t="s">
        <v>322</v>
      </c>
      <c r="N9" s="21">
        <v>0.19193801116398199</v>
      </c>
      <c r="O9" s="54" t="s">
        <v>302</v>
      </c>
      <c r="P9" s="21">
        <v>0.13826413851078601</v>
      </c>
      <c r="Q9" t="s">
        <v>1026</v>
      </c>
      <c r="R9">
        <v>580</v>
      </c>
    </row>
    <row r="10" spans="2:18" x14ac:dyDescent="0.3">
      <c r="B10" s="14" t="s">
        <v>1027</v>
      </c>
      <c r="C10" s="21">
        <v>4</v>
      </c>
      <c r="D10" s="21"/>
      <c r="E10" s="21">
        <v>0.39200000000000002</v>
      </c>
      <c r="F10" s="21">
        <v>279.89999999999998</v>
      </c>
      <c r="G10" s="21">
        <f t="shared" si="0"/>
        <v>1.5680000000000001</v>
      </c>
      <c r="H10" s="16">
        <f t="shared" si="1"/>
        <v>1119.5999999999999</v>
      </c>
      <c r="K10" s="13" t="s">
        <v>148</v>
      </c>
      <c r="L10" s="21">
        <v>9</v>
      </c>
      <c r="M10" t="s">
        <v>222</v>
      </c>
      <c r="N10" s="21">
        <v>8</v>
      </c>
      <c r="O10" s="19" t="s">
        <v>224</v>
      </c>
      <c r="P10" s="21">
        <v>5</v>
      </c>
      <c r="Q10" t="s">
        <v>1028</v>
      </c>
      <c r="R10">
        <v>1100</v>
      </c>
    </row>
    <row r="11" spans="2:18" x14ac:dyDescent="0.3">
      <c r="B11" s="14" t="s">
        <v>1029</v>
      </c>
      <c r="C11" s="21">
        <v>4</v>
      </c>
      <c r="D11" s="21"/>
      <c r="E11" s="21">
        <v>7.3499999999999996E-2</v>
      </c>
      <c r="F11" s="21">
        <v>119.99</v>
      </c>
      <c r="G11" s="21">
        <f t="shared" si="0"/>
        <v>0.29399999999999998</v>
      </c>
      <c r="H11" s="16">
        <f t="shared" si="1"/>
        <v>479.96</v>
      </c>
      <c r="K11" s="13" t="s">
        <v>154</v>
      </c>
      <c r="L11" s="21">
        <v>1</v>
      </c>
      <c r="M11" t="s">
        <v>230</v>
      </c>
      <c r="N11" s="21">
        <v>2</v>
      </c>
      <c r="O11" s="19" t="s">
        <v>233</v>
      </c>
      <c r="P11" s="21">
        <v>2</v>
      </c>
      <c r="Q11" t="s">
        <v>1030</v>
      </c>
      <c r="R11">
        <v>180</v>
      </c>
    </row>
    <row r="12" spans="2:18" x14ac:dyDescent="0.3">
      <c r="B12" s="14" t="s">
        <v>1031</v>
      </c>
      <c r="C12" s="21">
        <v>1</v>
      </c>
      <c r="D12" s="21"/>
      <c r="E12" s="21">
        <v>6.2E-2</v>
      </c>
      <c r="F12" s="21">
        <v>78.900000000000006</v>
      </c>
      <c r="G12" s="21">
        <f t="shared" si="0"/>
        <v>6.2E-2</v>
      </c>
      <c r="H12" s="16">
        <f t="shared" si="1"/>
        <v>78.900000000000006</v>
      </c>
      <c r="K12" s="13" t="s">
        <v>156</v>
      </c>
      <c r="L12" s="21">
        <v>0.8</v>
      </c>
      <c r="M12" s="19" t="s">
        <v>226</v>
      </c>
      <c r="N12" s="21">
        <v>0.8</v>
      </c>
      <c r="O12" s="19" t="s">
        <v>228</v>
      </c>
      <c r="P12" s="21">
        <v>0.9</v>
      </c>
      <c r="Q12" t="s">
        <v>1032</v>
      </c>
      <c r="R12">
        <v>1300</v>
      </c>
    </row>
    <row r="13" spans="2:18" x14ac:dyDescent="0.3">
      <c r="B13" s="14" t="s">
        <v>1033</v>
      </c>
      <c r="C13" s="21">
        <v>1</v>
      </c>
      <c r="D13" s="21"/>
      <c r="E13" s="21">
        <v>0.6</v>
      </c>
      <c r="F13" s="21">
        <v>159</v>
      </c>
      <c r="G13" s="21">
        <f t="shared" si="0"/>
        <v>0.6</v>
      </c>
      <c r="H13" s="16">
        <f t="shared" si="1"/>
        <v>159</v>
      </c>
      <c r="K13" s="13" t="s">
        <v>1034</v>
      </c>
      <c r="L13" s="21">
        <v>0</v>
      </c>
      <c r="M13" s="19" t="s">
        <v>291</v>
      </c>
      <c r="N13" s="21">
        <v>1.26829375775806</v>
      </c>
      <c r="O13" s="19" t="s">
        <v>294</v>
      </c>
      <c r="P13" s="21">
        <v>1.26829375775806</v>
      </c>
      <c r="Q13" t="s">
        <v>1035</v>
      </c>
      <c r="R13">
        <v>120</v>
      </c>
    </row>
    <row r="14" spans="2:18" x14ac:dyDescent="0.3">
      <c r="B14" s="14" t="s">
        <v>1036</v>
      </c>
      <c r="C14" s="21">
        <v>1</v>
      </c>
      <c r="D14" s="21"/>
      <c r="E14" s="21">
        <v>0.182</v>
      </c>
      <c r="F14" s="21">
        <v>109.99</v>
      </c>
      <c r="G14" s="21">
        <f t="shared" si="0"/>
        <v>0.182</v>
      </c>
      <c r="H14" s="16">
        <f t="shared" si="1"/>
        <v>109.99</v>
      </c>
      <c r="K14" s="13" t="s">
        <v>1037</v>
      </c>
      <c r="L14" s="28" t="s">
        <v>1038</v>
      </c>
      <c r="M14" s="19" t="s">
        <v>1039</v>
      </c>
      <c r="N14" s="21">
        <v>0</v>
      </c>
      <c r="O14" s="19" t="s">
        <v>296</v>
      </c>
      <c r="P14" s="21">
        <v>0.61957729326369404</v>
      </c>
      <c r="Q14" t="s">
        <v>1040</v>
      </c>
      <c r="R14">
        <v>620</v>
      </c>
    </row>
    <row r="15" spans="2:18" x14ac:dyDescent="0.3">
      <c r="B15" s="14" t="s">
        <v>1041</v>
      </c>
      <c r="C15" s="21">
        <v>1</v>
      </c>
      <c r="D15" s="21"/>
      <c r="E15" s="21">
        <v>1.9550000000000001</v>
      </c>
      <c r="F15" s="21">
        <v>1056</v>
      </c>
      <c r="G15" s="21">
        <f t="shared" si="0"/>
        <v>1.9550000000000001</v>
      </c>
      <c r="H15" s="16">
        <f t="shared" si="1"/>
        <v>1056</v>
      </c>
      <c r="K15" s="13" t="s">
        <v>1042</v>
      </c>
      <c r="L15" s="21" t="s">
        <v>1038</v>
      </c>
      <c r="M15" t="s">
        <v>299</v>
      </c>
      <c r="N15" s="21">
        <v>0.41572848487742903</v>
      </c>
      <c r="O15" s="19" t="s">
        <v>235</v>
      </c>
      <c r="P15" s="21">
        <v>0</v>
      </c>
      <c r="Q15" t="s">
        <v>1043</v>
      </c>
      <c r="R15">
        <v>10</v>
      </c>
    </row>
    <row r="16" spans="2:18" x14ac:dyDescent="0.3">
      <c r="B16" s="14" t="s">
        <v>1044</v>
      </c>
      <c r="C16" s="21">
        <v>1</v>
      </c>
      <c r="D16" s="21"/>
      <c r="E16" s="21">
        <v>0.76600000000000001</v>
      </c>
      <c r="F16" s="21">
        <v>344</v>
      </c>
      <c r="G16" s="21">
        <f t="shared" si="0"/>
        <v>0.76600000000000001</v>
      </c>
      <c r="H16" s="16">
        <f t="shared" si="1"/>
        <v>344</v>
      </c>
      <c r="K16" s="13" t="s">
        <v>186</v>
      </c>
      <c r="L16" s="21">
        <f>SQRT(L9*L10)</f>
        <v>3.746998799039039</v>
      </c>
      <c r="M16" t="s">
        <v>1037</v>
      </c>
      <c r="N16" s="21" t="s">
        <v>1038</v>
      </c>
      <c r="O16" s="19" t="s">
        <v>239</v>
      </c>
      <c r="P16" s="21">
        <v>90</v>
      </c>
      <c r="Q16" t="s">
        <v>1045</v>
      </c>
      <c r="R16">
        <v>306</v>
      </c>
    </row>
    <row r="17" spans="2:18" x14ac:dyDescent="0.3">
      <c r="B17" s="14" t="s">
        <v>1046</v>
      </c>
      <c r="C17" s="21">
        <v>1</v>
      </c>
      <c r="D17" s="21"/>
      <c r="E17" s="21">
        <v>2.33</v>
      </c>
      <c r="F17" s="21">
        <v>16287.55</v>
      </c>
      <c r="G17" s="21">
        <f t="shared" si="0"/>
        <v>2.33</v>
      </c>
      <c r="H17" s="16">
        <f t="shared" si="1"/>
        <v>16287.55</v>
      </c>
      <c r="K17" s="13" t="s">
        <v>195</v>
      </c>
      <c r="L17" s="21">
        <v>0.5</v>
      </c>
      <c r="M17" t="s">
        <v>1042</v>
      </c>
      <c r="N17" s="21" t="s">
        <v>1038</v>
      </c>
      <c r="O17" s="19" t="s">
        <v>244</v>
      </c>
      <c r="P17" s="21">
        <v>0</v>
      </c>
      <c r="Q17" t="s">
        <v>1047</v>
      </c>
      <c r="R17">
        <v>203.5</v>
      </c>
    </row>
    <row r="18" spans="2:18" x14ac:dyDescent="0.3">
      <c r="B18" s="14" t="s">
        <v>1048</v>
      </c>
      <c r="C18" s="21">
        <v>1</v>
      </c>
      <c r="D18" s="21"/>
      <c r="E18" s="21">
        <v>3.0169999999999999</v>
      </c>
      <c r="F18" s="21">
        <v>3444.57</v>
      </c>
      <c r="G18" s="21">
        <f t="shared" si="0"/>
        <v>3.0169999999999999</v>
      </c>
      <c r="H18" s="16">
        <f t="shared" si="1"/>
        <v>3444.57</v>
      </c>
      <c r="K18" s="13" t="s">
        <v>197</v>
      </c>
      <c r="L18" s="21">
        <v>0.9</v>
      </c>
      <c r="M18" s="19" t="s">
        <v>1049</v>
      </c>
      <c r="N18" s="21">
        <v>0</v>
      </c>
      <c r="O18" s="19" t="s">
        <v>248</v>
      </c>
      <c r="P18" s="21">
        <v>0</v>
      </c>
      <c r="Q18" t="s">
        <v>1050</v>
      </c>
      <c r="R18">
        <v>70</v>
      </c>
    </row>
    <row r="19" spans="2:18" x14ac:dyDescent="0.3">
      <c r="B19" s="14" t="s">
        <v>1051</v>
      </c>
      <c r="C19" s="21">
        <v>1</v>
      </c>
      <c r="D19" s="21"/>
      <c r="E19" s="21">
        <v>0.33</v>
      </c>
      <c r="F19" s="21">
        <v>4265.79</v>
      </c>
      <c r="G19" s="21">
        <f t="shared" si="0"/>
        <v>0.33</v>
      </c>
      <c r="H19" s="16">
        <f t="shared" si="1"/>
        <v>4265.79</v>
      </c>
      <c r="K19" s="14" t="s">
        <v>193</v>
      </c>
      <c r="L19" s="21">
        <v>0.2</v>
      </c>
      <c r="M19" s="19" t="s">
        <v>1052</v>
      </c>
      <c r="N19" s="21">
        <v>0.4</v>
      </c>
      <c r="O19" s="19" t="s">
        <v>1053</v>
      </c>
      <c r="P19" s="21">
        <v>0.1</v>
      </c>
      <c r="Q19" t="s">
        <v>1054</v>
      </c>
      <c r="R19">
        <v>70</v>
      </c>
    </row>
    <row r="20" spans="2:18" x14ac:dyDescent="0.3">
      <c r="B20" s="14" t="s">
        <v>765</v>
      </c>
      <c r="C20" s="21">
        <v>1</v>
      </c>
      <c r="D20" s="21"/>
      <c r="E20" s="21">
        <v>1.6E-2</v>
      </c>
      <c r="F20" s="21">
        <v>90</v>
      </c>
      <c r="G20" s="21">
        <f t="shared" si="0"/>
        <v>1.6E-2</v>
      </c>
      <c r="H20" s="16">
        <f t="shared" si="1"/>
        <v>90</v>
      </c>
      <c r="K20" s="13" t="s">
        <v>1055</v>
      </c>
      <c r="L20" s="21">
        <f>(2/3)*L21*((1+L12+L12^2)/(1+L12))</f>
        <v>0.41804650524258119</v>
      </c>
      <c r="M20" s="19" t="s">
        <v>1056</v>
      </c>
      <c r="N20" s="21">
        <v>0.3</v>
      </c>
      <c r="O20" s="19" t="s">
        <v>1057</v>
      </c>
      <c r="P20" s="21">
        <v>0.9</v>
      </c>
      <c r="Q20" t="s">
        <v>1058</v>
      </c>
      <c r="R20">
        <v>10</v>
      </c>
    </row>
    <row r="21" spans="2:18" x14ac:dyDescent="0.3">
      <c r="B21" s="14" t="s">
        <v>777</v>
      </c>
      <c r="C21" s="21">
        <v>1</v>
      </c>
      <c r="D21" s="21"/>
      <c r="E21" s="21">
        <v>0.02</v>
      </c>
      <c r="F21" s="21">
        <v>18.989999999999998</v>
      </c>
      <c r="G21" s="21">
        <f t="shared" si="0"/>
        <v>0.02</v>
      </c>
      <c r="H21" s="16">
        <f t="shared" si="1"/>
        <v>18.989999999999998</v>
      </c>
      <c r="K21" s="13" t="s">
        <v>1059</v>
      </c>
      <c r="L21" s="21">
        <v>0.46259244432580698</v>
      </c>
      <c r="M21" s="19" t="s">
        <v>1060</v>
      </c>
      <c r="N21" s="21">
        <v>0.17210480368435899</v>
      </c>
      <c r="O21" s="19" t="s">
        <v>1061</v>
      </c>
      <c r="P21" s="21">
        <v>0.3</v>
      </c>
      <c r="Q21" t="s">
        <v>1062</v>
      </c>
      <c r="R21">
        <v>25</v>
      </c>
    </row>
    <row r="22" spans="2:18" x14ac:dyDescent="0.3">
      <c r="B22" s="14" t="s">
        <v>1063</v>
      </c>
      <c r="C22" s="21">
        <v>1</v>
      </c>
      <c r="D22" s="21"/>
      <c r="E22" s="21">
        <v>7.2999999999999995E-2</v>
      </c>
      <c r="F22" s="21">
        <v>800</v>
      </c>
      <c r="G22" s="21">
        <f t="shared" si="0"/>
        <v>7.2999999999999995E-2</v>
      </c>
      <c r="H22" s="16">
        <f t="shared" si="1"/>
        <v>800</v>
      </c>
      <c r="K22" s="13" t="s">
        <v>1064</v>
      </c>
      <c r="L22" s="21">
        <v>0.37007395546064498</v>
      </c>
      <c r="M22" s="19" t="s">
        <v>1065</v>
      </c>
      <c r="N22" s="21">
        <v>0.13768384294748701</v>
      </c>
      <c r="O22" s="19" t="s">
        <v>1060</v>
      </c>
      <c r="P22" s="21">
        <v>0.17504357257997</v>
      </c>
      <c r="Q22" t="s">
        <v>1066</v>
      </c>
      <c r="R22">
        <v>306</v>
      </c>
    </row>
    <row r="23" spans="2:18" x14ac:dyDescent="0.3">
      <c r="B23" s="14" t="s">
        <v>1067</v>
      </c>
      <c r="C23" s="21">
        <v>1</v>
      </c>
      <c r="D23" s="21"/>
      <c r="E23" s="21">
        <v>0.08</v>
      </c>
      <c r="F23" s="21">
        <v>100</v>
      </c>
      <c r="G23" s="21">
        <f t="shared" si="0"/>
        <v>0.08</v>
      </c>
      <c r="H23" s="16">
        <f t="shared" si="1"/>
        <v>100</v>
      </c>
      <c r="K23" s="13" t="s">
        <v>1068</v>
      </c>
      <c r="L23" s="21">
        <f>L20/4</f>
        <v>0.1045116263106453</v>
      </c>
      <c r="M23" s="19" t="s">
        <v>1069</v>
      </c>
      <c r="N23" s="21"/>
      <c r="O23" s="19" t="s">
        <v>1065</v>
      </c>
      <c r="P23" s="21">
        <v>0.15753921532197299</v>
      </c>
      <c r="Q23" t="s">
        <v>1070</v>
      </c>
      <c r="R23">
        <v>203.5</v>
      </c>
    </row>
    <row r="24" spans="2:18" x14ac:dyDescent="0.3">
      <c r="B24" s="14" t="s">
        <v>1071</v>
      </c>
      <c r="C24" s="21">
        <v>2</v>
      </c>
      <c r="D24" s="21"/>
      <c r="E24" s="21">
        <v>0.09</v>
      </c>
      <c r="F24" s="21">
        <v>170</v>
      </c>
      <c r="G24" s="21">
        <f t="shared" si="0"/>
        <v>0.18</v>
      </c>
      <c r="H24" s="16">
        <f t="shared" si="1"/>
        <v>340</v>
      </c>
      <c r="K24" s="13" t="s">
        <v>1072</v>
      </c>
      <c r="L24" s="21">
        <f>(L16/6) * ((1 + 2*L12)/(1 + L12))</f>
        <v>0.90205526643532419</v>
      </c>
      <c r="M24" s="19" t="s">
        <v>1055</v>
      </c>
      <c r="N24" s="21"/>
      <c r="O24" s="19" t="s">
        <v>1055</v>
      </c>
      <c r="P24" s="21"/>
      <c r="Q24" t="s">
        <v>1073</v>
      </c>
      <c r="R24">
        <v>70</v>
      </c>
    </row>
    <row r="25" spans="2:18" ht="15" customHeight="1" x14ac:dyDescent="0.3">
      <c r="B25" s="14" t="s">
        <v>1074</v>
      </c>
      <c r="C25" s="21">
        <v>2</v>
      </c>
      <c r="D25" s="21"/>
      <c r="E25" s="21">
        <v>0.09</v>
      </c>
      <c r="F25" s="21">
        <v>170</v>
      </c>
      <c r="G25" s="21">
        <f t="shared" si="0"/>
        <v>0.18</v>
      </c>
      <c r="H25" s="16">
        <f t="shared" si="1"/>
        <v>340</v>
      </c>
      <c r="K25" s="14" t="s">
        <v>1075</v>
      </c>
      <c r="L25" s="21">
        <f>(L16/2) * TAN(L11*(PI()/180))</f>
        <v>3.2702053661589868E-2</v>
      </c>
      <c r="M25" s="19" t="s">
        <v>325</v>
      </c>
      <c r="N25" s="21">
        <v>1.2391545865273801</v>
      </c>
      <c r="O25" s="19" t="s">
        <v>305</v>
      </c>
      <c r="P25" s="21">
        <v>0.83145696975485905</v>
      </c>
      <c r="Q25" t="s">
        <v>1076</v>
      </c>
      <c r="R25">
        <v>10</v>
      </c>
    </row>
    <row r="26" spans="2:18" x14ac:dyDescent="0.3">
      <c r="B26" s="14" t="s">
        <v>1077</v>
      </c>
      <c r="C26" s="21">
        <v>1</v>
      </c>
      <c r="D26" s="21"/>
      <c r="E26" s="21">
        <v>2.2000000000000001E-3</v>
      </c>
      <c r="F26" s="21">
        <v>26.91</v>
      </c>
      <c r="G26" s="21">
        <f t="shared" si="0"/>
        <v>2.2000000000000001E-3</v>
      </c>
      <c r="H26" s="16">
        <f t="shared" si="1"/>
        <v>26.91</v>
      </c>
      <c r="K26" s="14" t="s">
        <v>1078</v>
      </c>
      <c r="L26" s="21">
        <f>L23 + (L24 * L25)/(L16/2)</f>
        <v>0.1202570595551145</v>
      </c>
      <c r="M26" s="19" t="s">
        <v>1079</v>
      </c>
      <c r="N26" s="21">
        <f>(N25/2) * TAN(N11*PI()/180)</f>
        <v>2.1636115840382303E-2</v>
      </c>
      <c r="O26" s="19" t="s">
        <v>1079</v>
      </c>
      <c r="P26" s="21">
        <f>(P25/2)*TAN(P11*PI()/180)</f>
        <v>1.4517558591558248E-2</v>
      </c>
      <c r="Q26" t="s">
        <v>1080</v>
      </c>
      <c r="R26">
        <v>25</v>
      </c>
    </row>
    <row r="27" spans="2:18" ht="15" customHeight="1" thickBot="1" x14ac:dyDescent="0.35">
      <c r="B27" s="14" t="s">
        <v>1081</v>
      </c>
      <c r="C27" s="21">
        <v>1</v>
      </c>
      <c r="D27" s="21"/>
      <c r="E27" s="21">
        <v>0</v>
      </c>
      <c r="F27" s="21">
        <v>287.12</v>
      </c>
      <c r="G27" s="21">
        <f t="shared" si="0"/>
        <v>0</v>
      </c>
      <c r="H27" s="16">
        <f t="shared" si="1"/>
        <v>287.12</v>
      </c>
      <c r="K27" s="15" t="s">
        <v>1082</v>
      </c>
      <c r="L27" s="26">
        <f>L20-L23</f>
        <v>0.31353487893193588</v>
      </c>
      <c r="M27" s="23"/>
      <c r="N27" s="23"/>
      <c r="O27" s="23"/>
      <c r="P27" s="23"/>
      <c r="Q27" t="s">
        <v>1083</v>
      </c>
      <c r="R27">
        <v>68</v>
      </c>
    </row>
    <row r="28" spans="2:18" x14ac:dyDescent="0.3">
      <c r="B28" s="14" t="s">
        <v>1084</v>
      </c>
      <c r="C28" s="21">
        <v>1</v>
      </c>
      <c r="D28" s="21"/>
      <c r="E28" s="21">
        <v>0</v>
      </c>
      <c r="F28" s="21">
        <v>70.319999999999993</v>
      </c>
      <c r="G28" s="21">
        <f t="shared" si="0"/>
        <v>0</v>
      </c>
      <c r="H28" s="16">
        <f t="shared" si="1"/>
        <v>70.319999999999993</v>
      </c>
      <c r="Q28" t="s">
        <v>1085</v>
      </c>
      <c r="R28">
        <v>10</v>
      </c>
    </row>
    <row r="29" spans="2:18" x14ac:dyDescent="0.3">
      <c r="B29" s="14" t="s">
        <v>1086</v>
      </c>
      <c r="C29" s="21">
        <v>1</v>
      </c>
      <c r="D29" s="21"/>
      <c r="E29" s="21">
        <v>2.1499999999999998E-2</v>
      </c>
      <c r="F29" s="21">
        <v>351.03</v>
      </c>
      <c r="G29" s="21">
        <f t="shared" si="0"/>
        <v>2.1499999999999998E-2</v>
      </c>
      <c r="H29" s="16">
        <f t="shared" si="1"/>
        <v>351.03</v>
      </c>
      <c r="Q29" t="s">
        <v>1087</v>
      </c>
      <c r="R29">
        <v>25</v>
      </c>
    </row>
    <row r="30" spans="2:18" x14ac:dyDescent="0.3">
      <c r="B30" s="14" t="s">
        <v>1088</v>
      </c>
      <c r="C30" s="21">
        <v>1</v>
      </c>
      <c r="D30" s="21"/>
      <c r="E30" s="21">
        <v>0</v>
      </c>
      <c r="F30" s="21">
        <v>351.03</v>
      </c>
      <c r="G30" s="21">
        <f t="shared" si="0"/>
        <v>0</v>
      </c>
      <c r="H30" s="16">
        <f t="shared" si="1"/>
        <v>351.03</v>
      </c>
      <c r="Q30" t="s">
        <v>1089</v>
      </c>
      <c r="R30">
        <v>70.3</v>
      </c>
    </row>
    <row r="31" spans="2:18" x14ac:dyDescent="0.3">
      <c r="B31" s="14" t="s">
        <v>1090</v>
      </c>
      <c r="C31" s="21">
        <v>1</v>
      </c>
      <c r="D31" s="21"/>
      <c r="E31" s="21">
        <v>0</v>
      </c>
      <c r="F31" s="21">
        <v>3.5</v>
      </c>
      <c r="G31" s="21">
        <f t="shared" si="0"/>
        <v>0</v>
      </c>
      <c r="H31" s="16">
        <f t="shared" si="1"/>
        <v>3.5</v>
      </c>
      <c r="Q31" t="s">
        <v>1091</v>
      </c>
      <c r="R31">
        <v>108</v>
      </c>
    </row>
    <row r="32" spans="2:18" x14ac:dyDescent="0.3">
      <c r="B32" s="14" t="s">
        <v>1092</v>
      </c>
      <c r="C32" s="21">
        <v>1</v>
      </c>
      <c r="D32" s="21"/>
      <c r="E32" s="21">
        <v>6.7000000000000004E-2</v>
      </c>
      <c r="F32" s="21">
        <v>217.75</v>
      </c>
      <c r="G32" s="21">
        <f t="shared" si="0"/>
        <v>6.7000000000000004E-2</v>
      </c>
      <c r="H32" s="16">
        <f t="shared" si="1"/>
        <v>217.75</v>
      </c>
      <c r="Q32" t="s">
        <v>1093</v>
      </c>
      <c r="R32">
        <v>462</v>
      </c>
    </row>
    <row r="33" spans="2:18" x14ac:dyDescent="0.3">
      <c r="B33" s="14" t="s">
        <v>1094</v>
      </c>
      <c r="C33" s="21">
        <v>1</v>
      </c>
      <c r="D33" s="21"/>
      <c r="E33" s="21">
        <v>4.8800000000000003E-2</v>
      </c>
      <c r="F33" s="21">
        <v>143.54</v>
      </c>
      <c r="G33" s="21">
        <f t="shared" si="0"/>
        <v>4.8800000000000003E-2</v>
      </c>
      <c r="H33" s="16">
        <f t="shared" si="1"/>
        <v>143.54</v>
      </c>
      <c r="Q33" t="s">
        <v>1095</v>
      </c>
      <c r="R33">
        <v>80</v>
      </c>
    </row>
    <row r="34" spans="2:18" x14ac:dyDescent="0.3">
      <c r="B34" s="14" t="s">
        <v>1096</v>
      </c>
      <c r="C34" s="21">
        <v>1</v>
      </c>
      <c r="D34" s="21"/>
      <c r="E34" s="21">
        <v>0.1</v>
      </c>
      <c r="F34" s="21"/>
      <c r="G34" s="21">
        <f t="shared" si="0"/>
        <v>0.1</v>
      </c>
      <c r="H34" s="16"/>
      <c r="Q34" t="s">
        <v>1097</v>
      </c>
      <c r="R34">
        <v>1875</v>
      </c>
    </row>
    <row r="35" spans="2:18" x14ac:dyDescent="0.3">
      <c r="B35" s="14" t="s">
        <v>1098</v>
      </c>
      <c r="C35" s="21">
        <v>1</v>
      </c>
      <c r="D35" s="21"/>
      <c r="E35" s="21">
        <v>3</v>
      </c>
      <c r="F35" s="21">
        <v>1084.8499999999999</v>
      </c>
      <c r="G35" s="21">
        <f t="shared" si="0"/>
        <v>3</v>
      </c>
      <c r="H35" s="16">
        <f>C35*F35</f>
        <v>1084.8499999999999</v>
      </c>
      <c r="Q35" t="s">
        <v>1099</v>
      </c>
      <c r="R35">
        <v>33</v>
      </c>
    </row>
    <row r="36" spans="2:18" ht="15" customHeight="1" thickBot="1" x14ac:dyDescent="0.35">
      <c r="B36" s="15" t="s">
        <v>1100</v>
      </c>
      <c r="C36" s="26">
        <v>1</v>
      </c>
      <c r="D36" s="26"/>
      <c r="E36" s="26">
        <f>C3*0.35</f>
        <v>8.2430384615384611</v>
      </c>
      <c r="F36" s="26">
        <v>30</v>
      </c>
      <c r="G36" s="26">
        <f t="shared" si="0"/>
        <v>8.2430384615384611</v>
      </c>
      <c r="H36" s="17">
        <f>E36*F36</f>
        <v>247.29115384615383</v>
      </c>
      <c r="Q36" t="s">
        <v>1101</v>
      </c>
      <c r="R36">
        <v>937.5</v>
      </c>
    </row>
    <row r="37" spans="2:18" x14ac:dyDescent="0.3">
      <c r="B37" s="19"/>
      <c r="C37" s="21"/>
      <c r="D37" s="21"/>
      <c r="E37" s="21"/>
      <c r="F37" s="21"/>
      <c r="G37" s="21"/>
      <c r="Q37" t="s">
        <v>1102</v>
      </c>
      <c r="R37">
        <v>1687.5</v>
      </c>
    </row>
    <row r="38" spans="2:18" ht="15" customHeight="1" thickBot="1" x14ac:dyDescent="0.35">
      <c r="B38" s="19"/>
      <c r="C38" s="21"/>
      <c r="D38" s="21"/>
      <c r="E38" s="21"/>
      <c r="F38" s="21"/>
      <c r="G38" s="21"/>
      <c r="Q38" t="s">
        <v>1103</v>
      </c>
      <c r="R38">
        <v>370</v>
      </c>
    </row>
    <row r="39" spans="2:18" ht="18" customHeight="1" x14ac:dyDescent="0.35">
      <c r="B39" s="95" t="s">
        <v>1104</v>
      </c>
      <c r="C39" s="83"/>
      <c r="D39" s="83"/>
      <c r="E39" s="83"/>
      <c r="F39" s="84"/>
      <c r="Q39" t="s">
        <v>1105</v>
      </c>
      <c r="R39">
        <v>80</v>
      </c>
    </row>
    <row r="40" spans="2:18" ht="15.6" customHeight="1" x14ac:dyDescent="0.3">
      <c r="B40" s="13"/>
      <c r="C40" s="55" t="s">
        <v>1106</v>
      </c>
      <c r="D40" s="55" t="s">
        <v>1107</v>
      </c>
      <c r="E40" s="55" t="s">
        <v>1108</v>
      </c>
      <c r="F40" s="56" t="s">
        <v>1109</v>
      </c>
      <c r="Q40" t="s">
        <v>1110</v>
      </c>
      <c r="R40">
        <v>33</v>
      </c>
    </row>
    <row r="41" spans="2:18" x14ac:dyDescent="0.3">
      <c r="B41" s="14" t="s">
        <v>1111</v>
      </c>
      <c r="C41" s="21">
        <v>6695</v>
      </c>
      <c r="D41" s="21">
        <v>2250.5</v>
      </c>
      <c r="E41" s="21">
        <v>1403.5</v>
      </c>
      <c r="F41" s="16">
        <v>593.4</v>
      </c>
      <c r="Q41" t="s">
        <v>1112</v>
      </c>
      <c r="R41">
        <v>724.8</v>
      </c>
    </row>
    <row r="42" spans="2:18" x14ac:dyDescent="0.3">
      <c r="B42" s="14" t="s">
        <v>1113</v>
      </c>
      <c r="C42" s="21">
        <v>46.7</v>
      </c>
      <c r="D42" s="21">
        <v>47.7</v>
      </c>
      <c r="E42" s="21">
        <v>47</v>
      </c>
      <c r="F42" s="16">
        <v>47.3</v>
      </c>
      <c r="Q42" t="s">
        <v>1114</v>
      </c>
      <c r="R42">
        <v>724.8</v>
      </c>
    </row>
    <row r="43" spans="2:18" x14ac:dyDescent="0.3">
      <c r="B43" s="14" t="s">
        <v>1115</v>
      </c>
      <c r="C43" s="21">
        <v>143.30000000000001</v>
      </c>
      <c r="D43" s="21">
        <v>47.2</v>
      </c>
      <c r="E43" s="21">
        <v>29.9</v>
      </c>
      <c r="F43" s="16">
        <v>12.5</v>
      </c>
      <c r="Q43" t="s">
        <v>1116</v>
      </c>
      <c r="R43">
        <v>1223.0999999999999</v>
      </c>
    </row>
    <row r="44" spans="2:18" x14ac:dyDescent="0.3">
      <c r="B44" s="14" t="s">
        <v>1117</v>
      </c>
      <c r="C44" s="21">
        <v>5757.7</v>
      </c>
      <c r="D44" s="21">
        <v>1350.3</v>
      </c>
      <c r="E44" s="21">
        <v>701.7</v>
      </c>
      <c r="F44" s="16">
        <v>0</v>
      </c>
      <c r="Q44" t="s">
        <v>1118</v>
      </c>
      <c r="R44">
        <v>9.9999999999999805</v>
      </c>
    </row>
    <row r="45" spans="2:18" x14ac:dyDescent="0.3">
      <c r="B45" s="14" t="s">
        <v>1119</v>
      </c>
      <c r="C45" s="21">
        <v>937.3</v>
      </c>
      <c r="D45" s="21">
        <v>900.2</v>
      </c>
      <c r="E45" s="21">
        <v>701.7</v>
      </c>
      <c r="F45" s="16">
        <v>593.4</v>
      </c>
      <c r="Q45" t="s">
        <v>1120</v>
      </c>
      <c r="R45">
        <v>45</v>
      </c>
    </row>
    <row r="46" spans="2:18" x14ac:dyDescent="0.3">
      <c r="B46" s="14" t="s">
        <v>1121</v>
      </c>
      <c r="C46" s="21">
        <f>C43/4</f>
        <v>35.825000000000003</v>
      </c>
      <c r="D46" s="21">
        <f>D43/4</f>
        <v>11.8</v>
      </c>
      <c r="E46" s="21">
        <f>E43</f>
        <v>29.9</v>
      </c>
      <c r="F46" s="16">
        <f>F43</f>
        <v>12.5</v>
      </c>
      <c r="Q46" t="s">
        <v>1122</v>
      </c>
      <c r="R46">
        <v>45</v>
      </c>
    </row>
    <row r="47" spans="2:18" x14ac:dyDescent="0.3">
      <c r="B47" s="14" t="s">
        <v>1123</v>
      </c>
      <c r="C47" s="21">
        <f>C42</f>
        <v>46.7</v>
      </c>
      <c r="D47" s="21">
        <f>D42</f>
        <v>47.7</v>
      </c>
      <c r="E47" s="21">
        <f>E42</f>
        <v>47</v>
      </c>
      <c r="F47" s="16">
        <f>F42</f>
        <v>47.3</v>
      </c>
      <c r="Q47" t="s">
        <v>1124</v>
      </c>
      <c r="R47">
        <v>45</v>
      </c>
    </row>
    <row r="48" spans="2:18" x14ac:dyDescent="0.3">
      <c r="B48" s="14" t="s">
        <v>1125</v>
      </c>
      <c r="C48" s="21">
        <f>C41/4</f>
        <v>1673.75</v>
      </c>
      <c r="D48" s="21">
        <f>D41/4</f>
        <v>562.625</v>
      </c>
      <c r="E48" s="21">
        <f>E41</f>
        <v>1403.5</v>
      </c>
      <c r="F48" s="16">
        <f>F41</f>
        <v>593.4</v>
      </c>
      <c r="Q48" t="s">
        <v>1126</v>
      </c>
      <c r="R48">
        <v>45</v>
      </c>
    </row>
    <row r="49" spans="2:18" x14ac:dyDescent="0.3">
      <c r="B49" s="14" t="s">
        <v>1127</v>
      </c>
      <c r="C49" s="21">
        <v>44.6</v>
      </c>
      <c r="D49" s="21">
        <v>22.2</v>
      </c>
      <c r="E49" s="21">
        <v>45.8</v>
      </c>
      <c r="F49" s="16">
        <v>24</v>
      </c>
      <c r="Q49" t="s">
        <v>1128</v>
      </c>
      <c r="R49">
        <v>100</v>
      </c>
    </row>
    <row r="50" spans="2:18" x14ac:dyDescent="0.3">
      <c r="B50" s="14" t="s">
        <v>1129</v>
      </c>
      <c r="C50" s="21">
        <v>3446.7</v>
      </c>
      <c r="D50" s="21">
        <v>2384.4</v>
      </c>
      <c r="E50" s="21">
        <v>6608.2</v>
      </c>
      <c r="F50" s="16">
        <v>5351.9</v>
      </c>
      <c r="Q50" t="s">
        <v>1130</v>
      </c>
      <c r="R50">
        <v>100</v>
      </c>
    </row>
    <row r="51" spans="2:18" x14ac:dyDescent="0.3">
      <c r="B51" s="14" t="s">
        <v>1131</v>
      </c>
      <c r="C51" s="21">
        <v>1490.3</v>
      </c>
      <c r="D51" s="21">
        <v>495.4</v>
      </c>
      <c r="E51" s="21">
        <v>1321.1</v>
      </c>
      <c r="F51" s="16">
        <v>541.20000000000005</v>
      </c>
      <c r="Q51" t="s">
        <v>1132</v>
      </c>
      <c r="R51">
        <v>40</v>
      </c>
    </row>
    <row r="52" spans="2:18" x14ac:dyDescent="0.3">
      <c r="B52" s="14" t="s">
        <v>1133</v>
      </c>
      <c r="C52" s="21">
        <v>4.13</v>
      </c>
      <c r="D52" s="21">
        <v>1.98</v>
      </c>
      <c r="E52" s="21">
        <v>1.9</v>
      </c>
      <c r="F52" s="16">
        <v>0.96</v>
      </c>
      <c r="Q52" t="s">
        <v>1134</v>
      </c>
      <c r="R52">
        <v>40</v>
      </c>
    </row>
    <row r="53" spans="2:18" x14ac:dyDescent="0.3">
      <c r="B53" s="14" t="s">
        <v>1135</v>
      </c>
      <c r="C53" s="21">
        <v>1</v>
      </c>
      <c r="D53" s="21">
        <v>10</v>
      </c>
      <c r="E53" s="21">
        <v>5.23</v>
      </c>
      <c r="F53" s="16">
        <v>210</v>
      </c>
      <c r="Q53" t="s">
        <v>1136</v>
      </c>
      <c r="R53">
        <v>20</v>
      </c>
    </row>
    <row r="54" spans="2:18" x14ac:dyDescent="0.3">
      <c r="B54" s="14" t="s">
        <v>1137</v>
      </c>
      <c r="C54" s="21">
        <v>2.1</v>
      </c>
      <c r="D54" s="21">
        <v>4.7</v>
      </c>
      <c r="E54" s="21">
        <v>1.3</v>
      </c>
      <c r="F54" s="16">
        <v>0</v>
      </c>
      <c r="Q54" t="s">
        <v>1138</v>
      </c>
      <c r="R54">
        <v>736.6</v>
      </c>
    </row>
    <row r="55" spans="2:18" x14ac:dyDescent="0.3">
      <c r="B55" s="14" t="s">
        <v>1139</v>
      </c>
      <c r="C55" s="21">
        <v>0.9</v>
      </c>
      <c r="D55" s="21">
        <v>9</v>
      </c>
      <c r="E55" s="21">
        <v>3.7</v>
      </c>
      <c r="F55" s="16">
        <v>124.6</v>
      </c>
      <c r="Q55" t="s">
        <v>1140</v>
      </c>
      <c r="R55">
        <v>736.6</v>
      </c>
    </row>
    <row r="56" spans="2:18" x14ac:dyDescent="0.3">
      <c r="B56" s="14" t="s">
        <v>1141</v>
      </c>
      <c r="C56" s="99">
        <f>SUM(C54:F54)</f>
        <v>8.1000000000000014</v>
      </c>
      <c r="D56" s="86"/>
      <c r="E56" s="86"/>
      <c r="F56" s="88"/>
      <c r="Q56" t="s">
        <v>1142</v>
      </c>
      <c r="R56">
        <v>238</v>
      </c>
    </row>
    <row r="57" spans="2:18" x14ac:dyDescent="0.3">
      <c r="B57" s="14" t="s">
        <v>1143</v>
      </c>
      <c r="C57" s="99">
        <f>SUM(C55:F55)</f>
        <v>138.19999999999999</v>
      </c>
      <c r="D57" s="86"/>
      <c r="E57" s="86"/>
      <c r="F57" s="88"/>
      <c r="Q57" t="s">
        <v>1144</v>
      </c>
      <c r="R57">
        <v>100</v>
      </c>
    </row>
    <row r="58" spans="2:18" ht="15" customHeight="1" thickBot="1" x14ac:dyDescent="0.35">
      <c r="B58" s="15" t="s">
        <v>1145</v>
      </c>
      <c r="C58" s="100">
        <f>SUM(C53:F53)</f>
        <v>226.23</v>
      </c>
      <c r="D58" s="101"/>
      <c r="E58" s="101"/>
      <c r="F58" s="102"/>
      <c r="Q58" t="s">
        <v>1146</v>
      </c>
      <c r="R58">
        <v>215</v>
      </c>
    </row>
    <row r="59" spans="2:18" x14ac:dyDescent="0.3">
      <c r="Q59" t="s">
        <v>1147</v>
      </c>
      <c r="R59">
        <v>20</v>
      </c>
    </row>
    <row r="60" spans="2:18" x14ac:dyDescent="0.3">
      <c r="Q60" t="s">
        <v>1148</v>
      </c>
      <c r="R60">
        <v>95</v>
      </c>
    </row>
    <row r="61" spans="2:18" x14ac:dyDescent="0.3">
      <c r="Q61" t="s">
        <v>1149</v>
      </c>
      <c r="R61">
        <v>238</v>
      </c>
    </row>
    <row r="62" spans="2:18" x14ac:dyDescent="0.3">
      <c r="Q62" t="s">
        <v>1150</v>
      </c>
      <c r="R62">
        <v>238</v>
      </c>
    </row>
    <row r="63" spans="2:18" x14ac:dyDescent="0.3">
      <c r="Q63" t="s">
        <v>1151</v>
      </c>
      <c r="R63">
        <v>238</v>
      </c>
    </row>
    <row r="64" spans="2:18" x14ac:dyDescent="0.3">
      <c r="Q64" t="s">
        <v>1152</v>
      </c>
      <c r="R64">
        <v>20</v>
      </c>
    </row>
    <row r="65" spans="17:18" x14ac:dyDescent="0.3">
      <c r="Q65" t="s">
        <v>1153</v>
      </c>
      <c r="R65">
        <v>10</v>
      </c>
    </row>
    <row r="66" spans="17:18" x14ac:dyDescent="0.3">
      <c r="Q66" t="s">
        <v>1154</v>
      </c>
      <c r="R66">
        <v>10</v>
      </c>
    </row>
    <row r="67" spans="17:18" x14ac:dyDescent="0.3">
      <c r="Q67" t="s">
        <v>1155</v>
      </c>
      <c r="R67">
        <v>60</v>
      </c>
    </row>
    <row r="68" spans="17:18" x14ac:dyDescent="0.3">
      <c r="Q68" t="s">
        <v>1156</v>
      </c>
      <c r="R68">
        <v>10</v>
      </c>
    </row>
    <row r="69" spans="17:18" x14ac:dyDescent="0.3">
      <c r="Q69" t="s">
        <v>1157</v>
      </c>
      <c r="R69">
        <v>10</v>
      </c>
    </row>
    <row r="70" spans="17:18" x14ac:dyDescent="0.3">
      <c r="Q70" t="s">
        <v>1158</v>
      </c>
      <c r="R70">
        <v>95</v>
      </c>
    </row>
    <row r="71" spans="17:18" x14ac:dyDescent="0.3">
      <c r="Q71" t="s">
        <v>1159</v>
      </c>
      <c r="R71">
        <v>20</v>
      </c>
    </row>
    <row r="72" spans="17:18" x14ac:dyDescent="0.3">
      <c r="Q72" t="s">
        <v>1160</v>
      </c>
      <c r="R72">
        <v>45</v>
      </c>
    </row>
    <row r="73" spans="17:18" x14ac:dyDescent="0.3">
      <c r="Q73" t="s">
        <v>1161</v>
      </c>
      <c r="R73">
        <v>47.5</v>
      </c>
    </row>
    <row r="74" spans="17:18" x14ac:dyDescent="0.3">
      <c r="Q74" t="s">
        <v>1162</v>
      </c>
      <c r="R74">
        <v>20</v>
      </c>
    </row>
    <row r="75" spans="17:18" x14ac:dyDescent="0.3">
      <c r="Q75" t="s">
        <v>1163</v>
      </c>
      <c r="R75">
        <v>45</v>
      </c>
    </row>
    <row r="76" spans="17:18" x14ac:dyDescent="0.3">
      <c r="Q76" t="s">
        <v>1164</v>
      </c>
      <c r="R76">
        <v>47.5</v>
      </c>
    </row>
    <row r="77" spans="17:18" x14ac:dyDescent="0.3">
      <c r="Q77" t="s">
        <v>1165</v>
      </c>
      <c r="R77">
        <v>20</v>
      </c>
    </row>
    <row r="78" spans="17:18" x14ac:dyDescent="0.3">
      <c r="Q78" t="s">
        <v>1166</v>
      </c>
      <c r="R78">
        <v>45</v>
      </c>
    </row>
    <row r="79" spans="17:18" x14ac:dyDescent="0.3">
      <c r="Q79" t="s">
        <v>1167</v>
      </c>
      <c r="R79">
        <v>95</v>
      </c>
    </row>
    <row r="80" spans="17:18" x14ac:dyDescent="0.3">
      <c r="Q80" t="s">
        <v>1168</v>
      </c>
      <c r="R80">
        <v>20</v>
      </c>
    </row>
    <row r="81" spans="17:18" x14ac:dyDescent="0.3">
      <c r="Q81" t="s">
        <v>1169</v>
      </c>
      <c r="R81">
        <v>45</v>
      </c>
    </row>
    <row r="82" spans="17:18" x14ac:dyDescent="0.3">
      <c r="Q82" t="s">
        <v>1170</v>
      </c>
      <c r="R82">
        <v>47.5</v>
      </c>
    </row>
    <row r="83" spans="17:18" x14ac:dyDescent="0.3">
      <c r="Q83" t="s">
        <v>1171</v>
      </c>
      <c r="R83">
        <v>20</v>
      </c>
    </row>
    <row r="84" spans="17:18" x14ac:dyDescent="0.3">
      <c r="Q84" t="s">
        <v>1172</v>
      </c>
      <c r="R84">
        <v>45</v>
      </c>
    </row>
    <row r="85" spans="17:18" x14ac:dyDescent="0.3">
      <c r="Q85" t="s">
        <v>1173</v>
      </c>
      <c r="R85">
        <v>47.5</v>
      </c>
    </row>
    <row r="86" spans="17:18" x14ac:dyDescent="0.3">
      <c r="Q86" t="s">
        <v>1174</v>
      </c>
      <c r="R86">
        <v>20</v>
      </c>
    </row>
    <row r="87" spans="17:18" x14ac:dyDescent="0.3">
      <c r="Q87" t="s">
        <v>1175</v>
      </c>
      <c r="R87">
        <v>45</v>
      </c>
    </row>
  </sheetData>
  <mergeCells count="10">
    <mergeCell ref="C56:F56"/>
    <mergeCell ref="B6:H6"/>
    <mergeCell ref="C57:F57"/>
    <mergeCell ref="C58:F58"/>
    <mergeCell ref="K6:R6"/>
    <mergeCell ref="O7:P7"/>
    <mergeCell ref="M7:N7"/>
    <mergeCell ref="K7:L7"/>
    <mergeCell ref="B39:F39"/>
    <mergeCell ref="Q7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UAV Design Requirements</vt:lpstr>
      <vt:lpstr>Aircraft Datasheet</vt:lpstr>
      <vt:lpstr>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AutoTwin</dc:creator>
  <cp:lastModifiedBy>Yuksel Berk Arpaciogullari</cp:lastModifiedBy>
  <dcterms:created xsi:type="dcterms:W3CDTF">2026-05-22T14:25:05Z</dcterms:created>
  <dcterms:modified xsi:type="dcterms:W3CDTF">2026-09-08T16:36:53Z</dcterms:modified>
</cp:coreProperties>
</file>